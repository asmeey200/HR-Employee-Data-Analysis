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Users\Toshiba\Documents\"/>
    </mc:Choice>
  </mc:AlternateContent>
  <xr:revisionPtr revIDLastSave="0" documentId="8_{8854A2C5-6535-429A-9203-129421B4B8F3}" xr6:coauthVersionLast="47" xr6:coauthVersionMax="47" xr10:uidLastSave="{00000000-0000-0000-0000-000000000000}"/>
  <bookViews>
    <workbookView xWindow="-120" yWindow="-120" windowWidth="20730" windowHeight="11160" activeTab="1" xr2:uid="{00000000-000D-0000-FFFF-FFFF00000000}"/>
  </bookViews>
  <sheets>
    <sheet name="Raw_Employee_Data" sheetId="1" r:id="rId1"/>
    <sheet name="HR Dashboard" sheetId="5" r:id="rId2"/>
    <sheet name="Analysis" sheetId="4" r:id="rId3"/>
    <sheet name="Lookup_Departments" sheetId="2" r:id="rId4"/>
    <sheet name="Lookup_Performance" sheetId="3" r:id="rId5"/>
  </sheets>
  <definedNames>
    <definedName name="Slicer_Department_Name">#N/A</definedName>
    <definedName name="Slicer_Employment_Status">#N/A</definedName>
    <definedName name="Slicer_Performance_Band">#N/A</definedName>
    <definedName name="Slicer_Year_of_Service">#N/A</definedName>
  </definedNames>
  <calcPr calcId="191029"/>
  <pivotCaches>
    <pivotCache cacheId="1"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5" l="1"/>
  <c r="B19" i="5"/>
  <c r="B12" i="5"/>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O5"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alcChain>
</file>

<file path=xl/sharedStrings.xml><?xml version="1.0" encoding="utf-8"?>
<sst xmlns="http://schemas.openxmlformats.org/spreadsheetml/2006/main" count="723" uniqueCount="318">
  <si>
    <t>Emp ID</t>
  </si>
  <si>
    <t>Dept Code</t>
  </si>
  <si>
    <t>Hire Date</t>
  </si>
  <si>
    <t>Salary</t>
  </si>
  <si>
    <t>Perf_Score</t>
  </si>
  <si>
    <t>Employment Status</t>
  </si>
  <si>
    <t>EMP127</t>
  </si>
  <si>
    <t>Brown</t>
  </si>
  <si>
    <t>IT02</t>
  </si>
  <si>
    <t>EMP046</t>
  </si>
  <si>
    <t>MKT04</t>
  </si>
  <si>
    <t>EMP134</t>
  </si>
  <si>
    <t>EMP139</t>
  </si>
  <si>
    <t>FIN03</t>
  </si>
  <si>
    <t>EMP112</t>
  </si>
  <si>
    <t>Smith</t>
  </si>
  <si>
    <t>Left</t>
  </si>
  <si>
    <t>EMP030</t>
  </si>
  <si>
    <t>OPS06</t>
  </si>
  <si>
    <t>EMP096</t>
  </si>
  <si>
    <t>EMP098</t>
  </si>
  <si>
    <t>EMP095</t>
  </si>
  <si>
    <t>Rodriguez</t>
  </si>
  <si>
    <t>EMP140</t>
  </si>
  <si>
    <t>SAL05</t>
  </si>
  <si>
    <t>Active</t>
  </si>
  <si>
    <t>EMP020</t>
  </si>
  <si>
    <t>EMP057</t>
  </si>
  <si>
    <t>EMP016</t>
  </si>
  <si>
    <t>Williams</t>
  </si>
  <si>
    <t>EMP070</t>
  </si>
  <si>
    <t>EMP025</t>
  </si>
  <si>
    <t>Jones</t>
  </si>
  <si>
    <t>EMP031</t>
  </si>
  <si>
    <t>EMP126</t>
  </si>
  <si>
    <t>EMP109</t>
  </si>
  <si>
    <t>EMP066</t>
  </si>
  <si>
    <t>EMP120</t>
  </si>
  <si>
    <t>EMP019</t>
  </si>
  <si>
    <t>EMP013</t>
  </si>
  <si>
    <t>EMP010</t>
  </si>
  <si>
    <t>EMP032</t>
  </si>
  <si>
    <t>EMP082</t>
  </si>
  <si>
    <t>EMP052</t>
  </si>
  <si>
    <t>EMP129</t>
  </si>
  <si>
    <t>EMP146</t>
  </si>
  <si>
    <t>EMP099</t>
  </si>
  <si>
    <t>EMP015</t>
  </si>
  <si>
    <t>EMP076</t>
  </si>
  <si>
    <t>EMP137</t>
  </si>
  <si>
    <t>EMP056</t>
  </si>
  <si>
    <t>EMP125</t>
  </si>
  <si>
    <t>HR01</t>
  </si>
  <si>
    <t>EMP085</t>
  </si>
  <si>
    <t>EMP106</t>
  </si>
  <si>
    <t>EMP043</t>
  </si>
  <si>
    <t>EMP068</t>
  </si>
  <si>
    <t>EMP128</t>
  </si>
  <si>
    <t>EMP027</t>
  </si>
  <si>
    <t>EMP136</t>
  </si>
  <si>
    <t>EMP079</t>
  </si>
  <si>
    <t>EMP149</t>
  </si>
  <si>
    <t>Resigned</t>
  </si>
  <si>
    <t>EMP037</t>
  </si>
  <si>
    <t>EMP077</t>
  </si>
  <si>
    <t>EMP023</t>
  </si>
  <si>
    <t>EMP133</t>
  </si>
  <si>
    <t>EMP141</t>
  </si>
  <si>
    <t>EMP012</t>
  </si>
  <si>
    <t>EMP080</t>
  </si>
  <si>
    <t>EMP069</t>
  </si>
  <si>
    <t>EMP150</t>
  </si>
  <si>
    <t>EMP028</t>
  </si>
  <si>
    <t>EMP087</t>
  </si>
  <si>
    <t>EMP119</t>
  </si>
  <si>
    <t>EMP042</t>
  </si>
  <si>
    <t>EMP005</t>
  </si>
  <si>
    <t>EMP033</t>
  </si>
  <si>
    <t>EMP061</t>
  </si>
  <si>
    <t>EMP102</t>
  </si>
  <si>
    <t>EMP067</t>
  </si>
  <si>
    <t>EMP017</t>
  </si>
  <si>
    <t>EMP123</t>
  </si>
  <si>
    <t>EMP011</t>
  </si>
  <si>
    <t>EMP091</t>
  </si>
  <si>
    <t>EMP145</t>
  </si>
  <si>
    <t>EMP001</t>
  </si>
  <si>
    <t>EMP113</t>
  </si>
  <si>
    <t>EMP065</t>
  </si>
  <si>
    <t>EMP045</t>
  </si>
  <si>
    <t>EMP083</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</si>
  <si>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</si>
  <si>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</si>
  <si>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</si>
  <si>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</si>
  <si>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</si>
  <si>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</si>
  <si>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</si>
  <si>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</si>
  <si>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</si>
  <si>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</si>
  <si>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</si>
  <si>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</si>
  <si>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</si>
  <si>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</si>
  <si>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</si>
  <si>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</si>
  <si>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</si>
  <si>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</si>
  <si>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</si>
  <si>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</si>
  <si>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</si>
  <si>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</si>
  <si>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</si>
  <si>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</si>
  <si>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</si>
  <si>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</si>
  <si>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</si>
  <si>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</si>
  <si>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</si>
  <si>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</si>
  <si>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</si>
  <si>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</si>
  <si>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</si>
  <si>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</si>
  <si>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</si>
  <si>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</si>
  <si>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</si>
  <si>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</si>
  <si>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</si>
  <si>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</si>
  <si>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</si>
  <si>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</si>
  <si>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</si>
  <si>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</si>
  <si>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</si>
  <si>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</si>
  <si>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</si>
  <si>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</si>
  <si>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</si>
  <si>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</si>
  <si>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</si>
  <si>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</si>
  <si>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</si>
  <si>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</si>
  <si>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</si>
  <si>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</si>
  <si>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</si>
  <si>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</si>
  <si>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</si>
  <si>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</si>
  <si>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</si>
  <si>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</si>
  <si>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</si>
  <si>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</si>
  <si>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</si>
  <si>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</si>
  <si>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</si>
  <si>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</si>
  <si>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</si>
  <si>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</si>
  <si>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</si>
  <si>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</si>
  <si>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</si>
  <si>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</si>
  <si>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</si>
  <si>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</si>
  <si>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</si>
  <si>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</si>
  <si>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</si>
  <si>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</si>
  <si>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</si>
  <si>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</si>
  <si>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</si>
  <si>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</si>
  <si>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</si>
  <si>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</si>
  <si>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</si>
  <si>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</si>
  <si>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</si>
  <si>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</si>
  <si>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</si>
  <si>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</si>
  <si>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</si>
  <si>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</si>
  <si>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</si>
  <si>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</si>
  <si>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Emily Brown</t>
  </si>
  <si>
    <t>Richard Hernandez</t>
  </si>
  <si>
    <t>Emily Gonzalez</t>
  </si>
  <si>
    <t>John Martinez</t>
  </si>
  <si>
    <t>Thomas Smith</t>
  </si>
  <si>
    <t>Emily Johnson</t>
  </si>
  <si>
    <t>John Wilson</t>
  </si>
  <si>
    <t>Jessica Smith</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</si>
  <si>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</si>
  <si>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</si>
  <si>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</si>
  <si>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</si>
  <si>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</si>
  <si>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</si>
  <si>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</si>
  <si>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</si>
  <si>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</si>
  <si>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</si>
  <si>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</si>
  <si>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</si>
  <si>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Michael Rodriguez</t>
  </si>
  <si>
    <t>Jessica Johnson</t>
  </si>
  <si>
    <t>Ashley Williams</t>
  </si>
  <si>
    <t>Michael Wilson</t>
  </si>
  <si>
    <t>John Rodriguez</t>
  </si>
  <si>
    <t>Thomas Hernandez</t>
  </si>
  <si>
    <t>Michael Johnson</t>
  </si>
  <si>
    <t>Sarah Brown</t>
  </si>
  <si>
    <t>Jane Martinez</t>
  </si>
  <si>
    <t>Emily Jones</t>
  </si>
  <si>
    <t>Melissa Brown</t>
  </si>
  <si>
    <t>Michael Smith</t>
  </si>
  <si>
    <t>Sarah Miller</t>
  </si>
  <si>
    <t>Emily Wilson</t>
  </si>
  <si>
    <t>David Hernandez</t>
  </si>
  <si>
    <t>James Smith</t>
  </si>
  <si>
    <t>Sarah Williams</t>
  </si>
  <si>
    <t>Amanda Lopez</t>
  </si>
  <si>
    <t>Thomas Lopez</t>
  </si>
  <si>
    <t>Melissa Johnson</t>
  </si>
  <si>
    <t>Amanda Johnson</t>
  </si>
  <si>
    <t>John Davis</t>
  </si>
  <si>
    <t>James Johnson</t>
  </si>
  <si>
    <t>Jane Davis</t>
  </si>
  <si>
    <t>Richard Davis</t>
  </si>
  <si>
    <t>Emily Garcia</t>
  </si>
  <si>
    <t>Jane Anderson</t>
  </si>
  <si>
    <t>Thomas Garcia</t>
  </si>
  <si>
    <t>David Martinez</t>
  </si>
  <si>
    <t>Michael Anderson</t>
  </si>
  <si>
    <t>Robert Johnson</t>
  </si>
  <si>
    <t>Robert Miller</t>
  </si>
  <si>
    <t>Thomas Davis</t>
  </si>
  <si>
    <t>Thomas Jones</t>
  </si>
  <si>
    <t>Michael Miller</t>
  </si>
  <si>
    <t>Richard Gonzalez</t>
  </si>
  <si>
    <t>Melissa Williams</t>
  </si>
  <si>
    <t>William Garcia</t>
  </si>
  <si>
    <t>John Gonzalez</t>
  </si>
  <si>
    <t>James Gonzalez</t>
  </si>
  <si>
    <t>Jane Gonzalez</t>
  </si>
  <si>
    <t>David Wilson</t>
  </si>
  <si>
    <t>Jane Rodriguez</t>
  </si>
  <si>
    <t>Jessica Garcia</t>
  </si>
  <si>
    <t>Richard Smith</t>
  </si>
  <si>
    <t>Melissa Wilson</t>
  </si>
  <si>
    <t>Thomas Williams</t>
  </si>
  <si>
    <t>David Williams</t>
  </si>
  <si>
    <t>John Johnson</t>
  </si>
  <si>
    <t>Melissa Anderson</t>
  </si>
  <si>
    <t>William Gonzalez</t>
  </si>
  <si>
    <t>Jessica Anderson</t>
  </si>
  <si>
    <t>Thomas Miller</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</si>
  <si>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</si>
  <si>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</si>
  <si>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</si>
  <si>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</si>
  <si>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</si>
  <si>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</si>
  <si>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</si>
  <si>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</si>
  <si>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</si>
  <si>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</si>
  <si>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</si>
  <si>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</si>
  <si>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</si>
  <si>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</si>
  <si>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</si>
  <si>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</si>
  <si>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</si>
  <si>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</si>
  <si>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</si>
  <si>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</si>
  <si>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</si>
  <si>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</si>
  <si>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</si>
  <si>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</si>
  <si>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</si>
  <si>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Richard Williams</t>
  </si>
  <si>
    <t>John Hernandez</t>
  </si>
  <si>
    <t>Sarah Gonzalez</t>
  </si>
  <si>
    <t>William Rodriguez</t>
  </si>
  <si>
    <t>Melissa Miller</t>
  </si>
  <si>
    <t>Emily Martinez</t>
  </si>
  <si>
    <t>Full Name</t>
  </si>
  <si>
    <t>Department Name</t>
  </si>
  <si>
    <t>Year of Service</t>
  </si>
  <si>
    <t>Performance Band</t>
  </si>
  <si>
    <t>Bonus Percentage</t>
  </si>
  <si>
    <t>Grand Total</t>
  </si>
  <si>
    <t>Average of Salary</t>
  </si>
  <si>
    <t>Head Count</t>
  </si>
  <si>
    <t>Department</t>
  </si>
  <si>
    <t>Attrition Rate %</t>
  </si>
  <si>
    <t>Average of Perf_Score</t>
  </si>
  <si>
    <t>Bonus Amount</t>
  </si>
  <si>
    <t>Sum of Bonus Amount</t>
  </si>
  <si>
    <t>Q1</t>
  </si>
  <si>
    <t>Q2</t>
  </si>
  <si>
    <t>Q3</t>
  </si>
  <si>
    <t>Q4</t>
  </si>
  <si>
    <t>HR ANALYTICS DASHBOARD</t>
  </si>
  <si>
    <t>Total Employes</t>
  </si>
  <si>
    <t>Average Salary</t>
  </si>
  <si>
    <t>Overall Attrition Rate</t>
  </si>
  <si>
    <t>left</t>
  </si>
  <si>
    <t>resigned</t>
  </si>
  <si>
    <t>Q1: Salary Pivot</t>
  </si>
  <si>
    <t>Q3: Performance Pivot</t>
  </si>
  <si>
    <t>Q2: Attrition Pivot</t>
  </si>
  <si>
    <t>Q4: Bonus Pivot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</si>
</sst>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6A]#,##0.00"/>
    <numFmt numFmtId="165" formatCode="0.0%"/>
    <numFmt numFmtId="166" formatCode="[$₦-46A]#,##0"/>
  </numFmts>
  <fonts count="12" x14ac:knownFonts="1">
    <font>
      <sz val="11"/>
      <color theme="1"/>
      <name val="Calibri"/>
      <family val="2"/>
      <scheme val="minor"/>
    </font>
    <font>
      <b/>
      <sz val="11"/>
      <name val="Calibri"/>
    </font>
    <font>
      <sz val="11"/>
      <color theme="1"/>
      <name val="Calibri"/>
      <family val="2"/>
      <scheme val="minor"/>
    </font>
    <font>
      <b/>
      <sz val="11"/>
      <name val="Calibri"/>
      <family val="2"/>
    </font>
    <font>
      <b/>
      <sz val="18"/>
      <color theme="1"/>
      <name val="Calibri"/>
      <family val="2"/>
      <scheme val="minor"/>
    </font>
    <font>
      <b/>
      <sz val="14"/>
      <color theme="9" tint="-0.499984740745262"/>
      <name val="Calibri"/>
      <family val="2"/>
      <scheme val="minor"/>
    </font>
    <font>
      <b/>
      <sz val="14"/>
      <color theme="9"/>
      <name val="Bahnschrift SemiBold"/>
      <family val="2"/>
    </font>
    <font>
      <sz val="14"/>
      <color theme="9"/>
      <name val="Bahnschrift SemiBold"/>
      <family val="2"/>
    </font>
    <font>
      <b/>
      <sz val="16"/>
      <color rgb="FFFFFF00"/>
      <name val="Calibri"/>
      <family val="2"/>
      <scheme val="minor"/>
    </font>
    <font>
      <b/>
      <sz val="14"/>
      <color theme="1"/>
      <name val="Calibri"/>
      <family val="2"/>
      <scheme val="minor"/>
    </font>
    <font>
      <b/>
      <sz val="14"/>
      <color rgb="FFFFFF00"/>
      <name val="Calibri"/>
      <family val="2"/>
      <scheme val="minor"/>
    </font>
    <font>
      <b/>
      <sz val="12"/>
      <color theme="1"/>
      <name val="Calibri"/>
      <family val="2"/>
      <scheme val="minor"/>
    </font>
  </fonts>
  <fills count="3">
    <fill>
      <patternFill patternType="none"/>
    </fill>
    <fill>
      <patternFill patternType="gray125"/>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applyAlignment="1">
      <alignment horizontal="right"/>
    </xf>
    <xf numFmtId="0" fontId="1" fillId="0" borderId="2" xfId="0" applyFont="1" applyBorder="1" applyAlignment="1">
      <alignment horizontal="left" vertical="top"/>
    </xf>
    <xf numFmtId="0" fontId="0" fillId="0" borderId="0" xfId="0" applyAlignment="1">
      <alignment horizontal="left"/>
    </xf>
    <xf numFmtId="14" fontId="3" fillId="0" borderId="2" xfId="0" applyNumberFormat="1" applyFont="1" applyBorder="1" applyAlignment="1">
      <alignment horizontal="left" vertical="top"/>
    </xf>
    <xf numFmtId="0" fontId="3" fillId="0" borderId="2" xfId="0" applyFont="1" applyBorder="1" applyAlignment="1">
      <alignment horizontal="left" vertical="top"/>
    </xf>
    <xf numFmtId="0" fontId="0" fillId="0" borderId="0" xfId="0" pivotButton="1"/>
    <xf numFmtId="164" fontId="0" fillId="0" borderId="0" xfId="0" applyNumberFormat="1"/>
    <xf numFmtId="10" fontId="0" fillId="0" borderId="0" xfId="0" applyNumberFormat="1"/>
    <xf numFmtId="165" fontId="0" fillId="0" borderId="0" xfId="0" applyNumberFormat="1"/>
    <xf numFmtId="2" fontId="0" fillId="0" borderId="0" xfId="0" applyNumberFormat="1"/>
    <xf numFmtId="164" fontId="3" fillId="0" borderId="2" xfId="0" applyNumberFormat="1" applyFont="1" applyBorder="1" applyAlignment="1">
      <alignment horizontal="left" vertical="top"/>
    </xf>
    <xf numFmtId="166" fontId="3" fillId="0" borderId="2" xfId="1" applyNumberFormat="1" applyFont="1" applyBorder="1" applyAlignment="1">
      <alignment horizontal="left" vertical="top"/>
    </xf>
    <xf numFmtId="166" fontId="0" fillId="0" borderId="0" xfId="1" applyNumberFormat="1" applyFont="1" applyAlignment="1">
      <alignment horizontal="right"/>
    </xf>
    <xf numFmtId="10" fontId="3" fillId="0" borderId="2" xfId="0" applyNumberFormat="1" applyFont="1" applyBorder="1" applyAlignment="1">
      <alignment horizontal="left" vertical="top"/>
    </xf>
    <xf numFmtId="0" fontId="4" fillId="0" borderId="0" xfId="0" applyFont="1"/>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7" fillId="0" borderId="0" xfId="0" applyFont="1" applyAlignment="1">
      <alignment horizontal="center"/>
    </xf>
    <xf numFmtId="0" fontId="0" fillId="2" borderId="0" xfId="0" applyFill="1"/>
    <xf numFmtId="0" fontId="8" fillId="2" borderId="0" xfId="0" applyFont="1" applyFill="1"/>
    <xf numFmtId="0" fontId="9" fillId="2" borderId="0" xfId="0" applyFont="1" applyFill="1"/>
    <xf numFmtId="0" fontId="10" fillId="2" borderId="0" xfId="0" applyFont="1" applyFill="1"/>
    <xf numFmtId="0" fontId="11" fillId="2" borderId="0" xfId="0" applyFont="1" applyFill="1"/>
    <xf numFmtId="0" fontId="0" fillId="0" borderId="0" xfId="0" applyNumberFormat="1"/>
  </cellXfs>
  <cellStyles count="2">
    <cellStyle name="Currency" xfId="1" builtinId="4"/>
    <cellStyle name="Normal" xfId="0" builtinId="0"/>
  </cellStyles>
  <dxfs count="67">
    <dxf>
      <numFmt numFmtId="164" formatCode="[$₦-46A]#,##0.00"/>
    </dxf>
    <dxf>
      <numFmt numFmtId="164" formatCode="[$₦-46A]#,##0.00"/>
    </dxf>
    <dxf>
      <numFmt numFmtId="2" formatCode="0.00"/>
    </dxf>
    <dxf>
      <numFmt numFmtId="164" formatCode="[$₦-46A]#,##0.00"/>
    </dxf>
    <dxf>
      <numFmt numFmtId="165" formatCode="0.0%"/>
    </dxf>
    <dxf>
      <numFmt numFmtId="164" formatCode="[$₦-46A]#,##0.00"/>
    </dxf>
    <dxf>
      <numFmt numFmtId="2" formatCode="0.00"/>
    </dxf>
    <dxf>
      <numFmt numFmtId="165" formatCode="0.0%"/>
    </dxf>
    <dxf>
      <numFmt numFmtId="164" formatCode="[$₦-46A]#,##0.00"/>
    </dxf>
    <dxf>
      <numFmt numFmtId="164" formatCode="[$₦-46A]#,##0.00"/>
    </dxf>
    <dxf>
      <numFmt numFmtId="164" formatCode="[$₦-46A]#,##0.00"/>
    </dxf>
    <dxf>
      <numFmt numFmtId="164" formatCode="[$₦-46A]#,##0.00"/>
    </dxf>
    <dxf>
      <numFmt numFmtId="2" formatCode="0.00"/>
    </dxf>
    <dxf>
      <numFmt numFmtId="164" formatCode="[$₦-46A]#,##0.00"/>
    </dxf>
    <dxf>
      <numFmt numFmtId="165" formatCode="0.0%"/>
    </dxf>
    <dxf>
      <numFmt numFmtId="164" formatCode="[$₦-46A]#,##0.00"/>
    </dxf>
    <dxf>
      <numFmt numFmtId="2" formatCode="0.00"/>
    </dxf>
    <dxf>
      <numFmt numFmtId="165" formatCode="0.0%"/>
    </dxf>
    <dxf>
      <numFmt numFmtId="164" formatCode="[$₦-46A]#,##0.00"/>
    </dxf>
    <dxf>
      <numFmt numFmtId="164" formatCode="[$₦-46A]#,##0.00"/>
    </dxf>
    <dxf>
      <numFmt numFmtId="164" formatCode="[$₦-46A]#,##0.00"/>
    </dxf>
    <dxf>
      <numFmt numFmtId="164" formatCode="[$₦-46A]#,##0.00"/>
    </dxf>
    <dxf>
      <numFmt numFmtId="2" formatCode="0.00"/>
    </dxf>
    <dxf>
      <numFmt numFmtId="164" formatCode="[$₦-46A]#,##0.00"/>
    </dxf>
    <dxf>
      <numFmt numFmtId="165" formatCode="0.0%"/>
    </dxf>
    <dxf>
      <numFmt numFmtId="164" formatCode="[$₦-46A]#,##0.00"/>
    </dxf>
    <dxf>
      <numFmt numFmtId="2" formatCode="0.00"/>
    </dxf>
    <dxf>
      <numFmt numFmtId="165" formatCode="0.0%"/>
    </dxf>
    <dxf>
      <numFmt numFmtId="164" formatCode="[$₦-46A]#,##0.00"/>
    </dxf>
    <dxf>
      <numFmt numFmtId="164" formatCode="[$₦-46A]#,##0.00"/>
    </dxf>
    <dxf>
      <numFmt numFmtId="164" formatCode="[$₦-46A]#,##0.00"/>
    </dxf>
    <dxf>
      <numFmt numFmtId="164" formatCode="[$₦-46A]#,##0.00"/>
    </dxf>
    <dxf>
      <numFmt numFmtId="2" formatCode="0.00"/>
    </dxf>
    <dxf>
      <numFmt numFmtId="164" formatCode="[$₦-46A]#,##0.00"/>
    </dxf>
    <dxf>
      <numFmt numFmtId="165" formatCode="0.0%"/>
    </dxf>
    <dxf>
      <numFmt numFmtId="164" formatCode="[$₦-46A]#,##0.00"/>
    </dxf>
    <dxf>
      <numFmt numFmtId="2" formatCode="0.00"/>
    </dxf>
    <dxf>
      <numFmt numFmtId="165" formatCode="0.0%"/>
    </dxf>
    <dxf>
      <numFmt numFmtId="164" formatCode="[$₦-46A]#,##0.00"/>
    </dxf>
    <dxf>
      <numFmt numFmtId="164" formatCode="[$₦-46A]#,##0.00"/>
    </dxf>
    <dxf>
      <numFmt numFmtId="164" formatCode="[$₦-46A]#,##0.00"/>
    </dxf>
    <dxf>
      <numFmt numFmtId="164" formatCode="[$₦-46A]#,##0.00"/>
    </dxf>
    <dxf>
      <numFmt numFmtId="2" formatCode="0.00"/>
    </dxf>
    <dxf>
      <numFmt numFmtId="164" formatCode="[$₦-46A]#,##0.00"/>
    </dxf>
    <dxf>
      <numFmt numFmtId="164" formatCode="[$₦-46A]#,##0.00"/>
    </dxf>
    <dxf>
      <numFmt numFmtId="164" formatCode="[$₦-46A]#,##0.00"/>
    </dxf>
    <dxf>
      <numFmt numFmtId="165" formatCode="0.0%"/>
    </dxf>
    <dxf>
      <numFmt numFmtId="164" formatCode="[$₦-46A]#,##0.00"/>
    </dxf>
    <dxf>
      <numFmt numFmtId="165" formatCode="0.0%"/>
    </dxf>
    <dxf>
      <numFmt numFmtId="164" formatCode="[$₦-46A]#,##0.00"/>
    </dxf>
    <dxf>
      <numFmt numFmtId="164" formatCode="[$₦-46A]#,##0.00"/>
    </dxf>
    <dxf>
      <numFmt numFmtId="164" formatCode="[$₦-46A]#,##0.00"/>
    </dxf>
    <dxf>
      <numFmt numFmtId="2" formatCode="0.00"/>
    </dxf>
    <dxf>
      <numFmt numFmtId="165" formatCode="0.0%"/>
    </dxf>
    <dxf>
      <numFmt numFmtId="164" formatCode="[$₦-46A]#,##0.00"/>
    </dxf>
    <dxf>
      <numFmt numFmtId="164" formatCode="[$₦-46A]#,##0.00"/>
    </dxf>
    <dxf>
      <numFmt numFmtId="164" formatCode="[$₦-46A]#,##0.00"/>
    </dxf>
    <dxf>
      <numFmt numFmtId="14" formatCode="0.00%"/>
    </dxf>
    <dxf>
      <numFmt numFmtId="0" formatCode="General"/>
    </dxf>
    <dxf>
      <numFmt numFmtId="0" formatCode="General"/>
    </dxf>
    <dxf>
      <numFmt numFmtId="0" formatCode="General"/>
    </dxf>
    <dxf>
      <numFmt numFmtId="166" formatCode="[$₦-46A]#,##0"/>
      <alignment horizontal="right" textRotation="0" wrapText="0" indent="0" justifyLastLine="0" shrinkToFit="0" readingOrder="0"/>
    </dxf>
    <dxf>
      <numFmt numFmtId="19" formatCode="m/d/yyyy"/>
      <alignment horizontal="right" textRotation="0" wrapText="0" indent="0" justifyLastLine="0" shrinkToFit="0" readingOrder="0"/>
    </dxf>
    <dxf>
      <alignment horizontal="general"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[HR_Analytics_Capstone_Raw_Data2.xlsx]HR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of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42650918635171"/>
          <c:y val="0.25865522018081066"/>
          <c:w val="0.35653040244969381"/>
          <c:h val="0.59421733741615634"/>
        </c:manualLayout>
      </c:layout>
      <c:pieChart>
        <c:varyColors val="1"/>
        <c:ser>
          <c:idx val="0"/>
          <c:order val="0"/>
          <c:tx>
            <c:strRef>
              <c:f>'HR Dashboard'!$AE$1</c:f>
              <c:strCache>
                <c:ptCount val="1"/>
                <c:pt idx="0">
                  <c:v>Average of Salary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'HR Dashboard'!$AD$2:$AD$8</c:f>
              <c:strCache>
                <c:ptCount val="6"/>
                <c:pt idx="0">
                  <c:v>Finance</c:v>
                </c:pt>
                <c:pt idx="1">
                  <c:v>Human Resources</c:v>
                </c:pt>
                <c:pt idx="2">
                  <c:v>Information Technology</c:v>
                </c:pt>
                <c:pt idx="3">
                  <c:v>Marketing</c:v>
                </c:pt>
                <c:pt idx="4">
                  <c:v>Operations</c:v>
                </c:pt>
                <c:pt idx="5">
                  <c:v>Sales</c:v>
                </c:pt>
              </c:strCache>
            </c:strRef>
          </c:cat>
          <c:val>
            <c:numRef>
              <c:f>'HR Dashboard'!$AE$2:$AE$8</c:f>
              <c:numCache>
                <c:formatCode>[$₦-46A]#,##0.00</c:formatCode>
                <c:ptCount val="6"/>
                <c:pt idx="0">
                  <c:v>87173.588235294112</c:v>
                </c:pt>
                <c:pt idx="1">
                  <c:v>85536.277777777781</c:v>
                </c:pt>
                <c:pt idx="2">
                  <c:v>80512.833333333328</c:v>
                </c:pt>
                <c:pt idx="3">
                  <c:v>85407.947368421053</c:v>
                </c:pt>
                <c:pt idx="4">
                  <c:v>80049.931034482754</c:v>
                </c:pt>
                <c:pt idx="5">
                  <c:v>86333.096774193546</c:v>
                </c:pt>
              </c:numCache>
            </c:numRef>
          </c:val>
          <c:extLst>
            <c:ext xmlns:c16="http://schemas.microsoft.com/office/drawing/2014/chart" uri="{C3380CC4-5D6E-409C-BE32-E72D297353CC}">
              <c16:uniqueId val="{00000000-14FE-4316-973D-7F95F78348CD}"/>
            </c:ext>
          </c:extLst>
        </c:ser>
        <c:ser>
          <c:idx val="1"/>
          <c:order val="1"/>
          <c:tx>
            <c:strRef>
              <c:f>'HR Dashboard'!$AF$1</c:f>
              <c:strCache>
                <c:ptCount val="1"/>
                <c:pt idx="0">
                  <c:v>Head 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'HR Dashboard'!$AD$2:$AD$8</c:f>
              <c:strCache>
                <c:ptCount val="6"/>
                <c:pt idx="0">
                  <c:v>Finance</c:v>
                </c:pt>
                <c:pt idx="1">
                  <c:v>Human Resources</c:v>
                </c:pt>
                <c:pt idx="2">
                  <c:v>Information Technology</c:v>
                </c:pt>
                <c:pt idx="3">
                  <c:v>Marketing</c:v>
                </c:pt>
                <c:pt idx="4">
                  <c:v>Operations</c:v>
                </c:pt>
                <c:pt idx="5">
                  <c:v>Sales</c:v>
                </c:pt>
              </c:strCache>
            </c:strRef>
          </c:cat>
          <c:val>
            <c:numRef>
              <c:f>'HR Dashboard'!$AF$2:$AF$8</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1-14FE-4316-973D-7F95F78348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[HR_Analytics_Capstone_Raw_Data2.xlsx]HR 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Rate</a:t>
            </a:r>
            <a:endParaRPr lang="en-US" b="1"/>
          </a:p>
        </c:rich>
      </c:tx>
      <c:layout>
        <c:manualLayout>
          <c:xMode val="edge"/>
          <c:yMode val="edge"/>
          <c:x val="0.37929155730533681"/>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Dashboard'!$AH$1:$AH$2</c:f>
              <c:strCache>
                <c:ptCount val="1"/>
                <c:pt idx="0">
                  <c:v>Active</c:v>
                </c:pt>
              </c:strCache>
            </c:strRef>
          </c:tx>
          <c:spPr>
            <a:solidFill>
              <a:schemeClr val="accent1"/>
            </a:solidFill>
            <a:ln>
              <a:noFill/>
            </a:ln>
            <a:effectLst/>
          </c:spPr>
          <c:invertIfNegative val="0"/>
          <c:cat>
            <c:strRef>
              <c:f>'HR Dashboard'!$AG$3:$AG$9</c:f>
              <c:strCache>
                <c:ptCount val="6"/>
                <c:pt idx="0">
                  <c:v>Finance</c:v>
                </c:pt>
                <c:pt idx="1">
                  <c:v>Human Resources</c:v>
                </c:pt>
                <c:pt idx="2">
                  <c:v>Information Technology</c:v>
                </c:pt>
                <c:pt idx="3">
                  <c:v>Marketing</c:v>
                </c:pt>
                <c:pt idx="4">
                  <c:v>Operations</c:v>
                </c:pt>
                <c:pt idx="5">
                  <c:v>Sales</c:v>
                </c:pt>
              </c:strCache>
            </c:strRef>
          </c:cat>
          <c:val>
            <c:numRef>
              <c:f>'HR Dashboard'!$AH$3:$AH$9</c:f>
              <c:numCache>
                <c:formatCode>0.0%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0-E3EE-4713-A113-8A3018D5A8F6}"/>
            </c:ext>
          </c:extLst>
        </c:ser>
        <c:ser>
          <c:idx val="1"/>
          <c:order val="1"/>
          <c:tx>
            <c:strRef>
              <c:f>'HR Dashboard'!$AI$1:$AI$2</c:f>
              <c:strCache>
                <c:ptCount val="1"/>
                <c:pt idx="0">
                  <c:v>Left</c:v>
                </c:pt>
              </c:strCache>
            </c:strRef>
          </c:tx>
          <c:spPr>
            <a:solidFill>
              <a:schemeClr val="accent2"/>
            </a:solidFill>
            <a:ln>
              <a:noFill/>
            </a:ln>
            <a:effectLst/>
          </c:spPr>
          <c:invertIfNegative val="0"/>
          <c:cat>
            <c:strRef>
              <c:f>'HR Dashboard'!$AG$3:$AG$9</c:f>
              <c:strCache>
                <c:ptCount val="6"/>
                <c:pt idx="0">
                  <c:v>Finance</c:v>
                </c:pt>
                <c:pt idx="1">
                  <c:v>Human Resources</c:v>
                </c:pt>
                <c:pt idx="2">
                  <c:v>Information Technology</c:v>
                </c:pt>
                <c:pt idx="3">
                  <c:v>Marketing</c:v>
                </c:pt>
                <c:pt idx="4">
                  <c:v>Operations</c:v>
                </c:pt>
                <c:pt idx="5">
                  <c:v>Sales</c:v>
                </c:pt>
              </c:strCache>
            </c:strRef>
          </c:cat>
          <c:val>
            <c:numRef>
              <c:f>'HR Dashboard'!$AI$3:$AI$9</c:f>
              <c:numCache>
                <c:formatCode>0.0%</c:formatCode>
                <c:ptCount val="6"/>
                <c:pt idx="0">
                  <c:v>0.17647058823529413</c:v>
                </c:pt>
                <c:pt idx="1">
                  <c:v>0.1111111111111111</c:v>
                </c:pt>
                <c:pt idx="2">
                  <c:v>0.16666666666666666</c:v>
                </c:pt>
                <c:pt idx="3">
                  <c:v>0.15789473684210525</c:v>
                </c:pt>
                <c:pt idx="4">
                  <c:v>0.20689655172413793</c:v>
                </c:pt>
                <c:pt idx="5">
                  <c:v>0.12903225806451613</c:v>
                </c:pt>
              </c:numCache>
            </c:numRef>
          </c:val>
          <c:extLst>
            <c:ext xmlns:c16="http://schemas.microsoft.com/office/drawing/2014/chart" uri="{C3380CC4-5D6E-409C-BE32-E72D297353CC}">
              <c16:uniqueId val="{00000001-E3EE-4713-A113-8A3018D5A8F6}"/>
            </c:ext>
          </c:extLst>
        </c:ser>
        <c:ser>
          <c:idx val="2"/>
          <c:order val="2"/>
          <c:tx>
            <c:strRef>
              <c:f>'HR Dashboard'!$AJ$1:$AJ$2</c:f>
              <c:strCache>
                <c:ptCount val="1"/>
                <c:pt idx="0">
                  <c:v>Resigned</c:v>
                </c:pt>
              </c:strCache>
            </c:strRef>
          </c:tx>
          <c:spPr>
            <a:solidFill>
              <a:schemeClr val="accent3"/>
            </a:solidFill>
            <a:ln>
              <a:noFill/>
            </a:ln>
            <a:effectLst/>
          </c:spPr>
          <c:invertIfNegative val="0"/>
          <c:cat>
            <c:strRef>
              <c:f>'HR Dashboard'!$AG$3:$AG$9</c:f>
              <c:strCache>
                <c:ptCount val="6"/>
                <c:pt idx="0">
                  <c:v>Finance</c:v>
                </c:pt>
                <c:pt idx="1">
                  <c:v>Human Resources</c:v>
                </c:pt>
                <c:pt idx="2">
                  <c:v>Information Technology</c:v>
                </c:pt>
                <c:pt idx="3">
                  <c:v>Marketing</c:v>
                </c:pt>
                <c:pt idx="4">
                  <c:v>Operations</c:v>
                </c:pt>
                <c:pt idx="5">
                  <c:v>Sales</c:v>
                </c:pt>
              </c:strCache>
            </c:strRef>
          </c:cat>
          <c:val>
            <c:numRef>
              <c:f>'HR Dashboard'!$AJ$3:$AJ$9</c:f>
              <c:numCache>
                <c:formatCode>0.00%</c:formatCode>
                <c:ptCount val="6"/>
                <c:pt idx="0">
                  <c:v>0</c:v>
                </c:pt>
                <c:pt idx="1">
                  <c:v>5.5555555555555552E-2</c:v>
                </c:pt>
                <c:pt idx="2">
                  <c:v>5.5555555555555552E-2</c:v>
                </c:pt>
                <c:pt idx="3">
                  <c:v>0</c:v>
                </c:pt>
                <c:pt idx="4">
                  <c:v>0.17241379310344829</c:v>
                </c:pt>
                <c:pt idx="5">
                  <c:v>6.4516129032258063E-2</c:v>
                </c:pt>
              </c:numCache>
            </c:numRef>
          </c:val>
          <c:extLst>
            <c:ext xmlns:c16="http://schemas.microsoft.com/office/drawing/2014/chart" uri="{C3380CC4-5D6E-409C-BE32-E72D297353CC}">
              <c16:uniqueId val="{00000002-E3EE-4713-A113-8A3018D5A8F6}"/>
            </c:ext>
          </c:extLst>
        </c:ser>
        <c:dLbls>
          <c:showLegendKey val="0"/>
          <c:showVal val="0"/>
          <c:showCatName val="0"/>
          <c:showSerName val="0"/>
          <c:showPercent val="0"/>
          <c:showBubbleSize val="0"/>
        </c:dLbls>
        <c:gapWidth val="219"/>
        <c:overlap val="-27"/>
        <c:axId val="965390111"/>
        <c:axId val="965396767"/>
      </c:barChart>
      <c:catAx>
        <c:axId val="96539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96767"/>
        <c:crosses val="autoZero"/>
        <c:auto val="1"/>
        <c:lblAlgn val="ctr"/>
        <c:lblOffset val="100"/>
        <c:noMultiLvlLbl val="0"/>
      </c:catAx>
      <c:valAx>
        <c:axId val="965396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[HR_Analytics_Capstone_Raw_Data2.xlsx]HR Dashboard!PivotTable3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Bonus</a:t>
            </a:r>
            <a:r>
              <a:rPr lang="en-US" baseline="0"/>
              <a:t> Amount</a:t>
            </a:r>
            <a:endParaRPr lang="en-US"/>
          </a:p>
        </c:rich>
      </c:tx>
      <c:layout>
        <c:manualLayout>
          <c:xMode val="edge"/>
          <c:yMode val="edge"/>
          <c:x val="0.37610411198600174"/>
          <c:y val="7.626165663607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 Dashboard'!$AE$9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'HR Dashboard'!$AD$10:$AD$15</c:f>
              <c:strCache>
                <c:ptCount val="5"/>
                <c:pt idx="0">
                  <c:v>Achieving</c:v>
                </c:pt>
                <c:pt idx="1">
                  <c:v>Developing</c:v>
                </c:pt>
                <c:pt idx="2">
                  <c:v>Exceeding</c:v>
                </c:pt>
                <c:pt idx="3">
                  <c:v>Needs Improvement</c:v>
                </c:pt>
                <c:pt idx="4">
                  <c:v>Outstanding</c:v>
                </c:pt>
              </c:strCache>
            </c:strRef>
          </c:cat>
          <c:val>
            <c:numRef>
              <c:f>'HR Dashboard'!$AE$10:$AE$15</c:f>
              <c:numCache>
                <c:formatCode>[$₦-46A]#,##0.00</c:formatCode>
                <c:ptCount val="5"/>
                <c:pt idx="0">
                  <c:v>165216.95000000004</c:v>
                </c:pt>
                <c:pt idx="1">
                  <c:v>84593.280000000028</c:v>
                </c:pt>
                <c:pt idx="2">
                  <c:v>144689.44</c:v>
                </c:pt>
                <c:pt idx="3">
                  <c:v>0</c:v>
                </c:pt>
                <c:pt idx="4">
                  <c:v>92411.520000000004</c:v>
                </c:pt>
              </c:numCache>
            </c:numRef>
          </c:val>
          <c:extLst>
            <c:ext xmlns:c16="http://schemas.microsoft.com/office/drawing/2014/chart" uri="{C3380CC4-5D6E-409C-BE32-E72D297353CC}">
              <c16:uniqueId val="{00000000-E785-469B-8301-8893E6D999AF}"/>
            </c:ext>
          </c:extLst>
        </c:ser>
        <c:dLbls>
          <c:dLblPos val="inEnd"/>
          <c:showLegendKey val="0"/>
          <c:showVal val="1"/>
          <c:showCatName val="0"/>
          <c:showSerName val="0"/>
          <c:showPercent val="0"/>
          <c:showBubbleSize val="0"/>
        </c:dLbls>
        <c:gapWidth val="65"/>
        <c:axId val="1049533663"/>
        <c:axId val="1049541151"/>
      </c:barChart>
      <c:catAx>
        <c:axId val="10495336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9541151"/>
        <c:crosses val="autoZero"/>
        <c:auto val="1"/>
        <c:lblAlgn val="ctr"/>
        <c:lblOffset val="100"/>
        <c:noMultiLvlLbl val="0"/>
      </c:catAx>
      <c:valAx>
        <c:axId val="10495411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9533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236330</xdr:colOff>
      <xdr:row>14</xdr:row>
      <xdr:rowOff>68607</xdr:rowOff>
    </xdr:from>
    <xdr:to>
      <xdr:col>19</xdr:col>
      <xdr:colOff>165652</xdr:colOff>
      <xdr:row>27</xdr:row>
      <xdr:rowOff>117129</xdr:rowOff>
    </xdr:to>
    <xdr:graphicFrame macro="">
      <xdr:nvGraphicFramePr>
        <xdr:cNvPr id="2" name="Chart 1">
          <a:extLst>
            <a:ext uri="{FF2B5EF4-FFF2-40B4-BE49-F238E27FC236}">
              <a16:creationId xmlns:a16="http://schemas.microsoft.com/office/drawing/2014/main" id="{1A16A2B3-79EB-4E4D-BFCD-845260439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238125</xdr:colOff>
      <xdr:row>1</xdr:row>
      <xdr:rowOff>151533</xdr:rowOff>
    </xdr:from>
    <xdr:to>
      <xdr:col>19</xdr:col>
      <xdr:colOff>173182</xdr:colOff>
      <xdr:row>13</xdr:row>
      <xdr:rowOff>166686</xdr:rowOff>
    </xdr:to>
    <xdr:graphicFrame macro="">
      <xdr:nvGraphicFramePr>
        <xdr:cNvPr id="3" name="Chart 2">
          <a:extLst>
            <a:ext uri="{FF2B5EF4-FFF2-40B4-BE49-F238E27FC236}">
              <a16:creationId xmlns:a16="http://schemas.microsoft.com/office/drawing/2014/main" id="{C741984C-81AC-4053-90F6-8CD174665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385140</xdr:colOff>
      <xdr:row>1</xdr:row>
      <xdr:rowOff>105466</xdr:rowOff>
    </xdr:from>
    <xdr:to>
      <xdr:col>27</xdr:col>
      <xdr:colOff>98010</xdr:colOff>
      <xdr:row>14</xdr:row>
      <xdr:rowOff>0</xdr:rowOff>
    </xdr:to>
    <xdr:graphicFrame macro="">
      <xdr:nvGraphicFramePr>
        <xdr:cNvPr id="4" name="Chart 3">
          <a:extLst>
            <a:ext uri="{FF2B5EF4-FFF2-40B4-BE49-F238E27FC236}">
              <a16:creationId xmlns:a16="http://schemas.microsoft.com/office/drawing/2014/main" id="{CA7B280B-3165-4D24-84A8-438907358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489573</xdr:colOff>
      <xdr:row>2</xdr:row>
      <xdr:rowOff>18530</xdr:rowOff>
    </xdr:from>
    <xdr:to>
      <xdr:col>7</xdr:col>
      <xdr:colOff>496199</xdr:colOff>
      <xdr:row>3</xdr:row>
      <xdr:rowOff>74915</xdr:rowOff>
    </xdr:to>
    <mc:AlternateContent xmlns:mc="http://schemas.openxmlformats.org/markup-compatibility/2006">
      <mc:Choice xmlns:a14="http://schemas.microsoft.com/office/drawing/2010/main" Requires="a14">
        <xdr:graphicFrame macro="">
          <xdr:nvGraphicFramePr>
            <xdr:cNvPr id="5" name="Employment Status">
              <a:extLst>
                <a:ext uri="{FF2B5EF4-FFF2-40B4-BE49-F238E27FC236}">
                  <a16:creationId xmlns:a16="http://schemas.microsoft.com/office/drawing/2014/main" id="{B6058835-24F0-467F-8CE6-9B7DA2186085}"/>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dr:sp macro="" textlink="">
          <xdr:nvSpPr>
            <xdr:cNvPr id="0" name=""/>
            <xdr:cNvSpPr>
              <a:spLocks noTextEdit="1"/>
            </xdr:cNvSpPr>
          </xdr:nvSpPr>
          <xdr:spPr>
            <a:xfrm>
              <a:off x="2941987" y="445513"/>
              <a:ext cx="1845936" cy="242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291424</xdr:colOff>
      <xdr:row>2</xdr:row>
      <xdr:rowOff>19540</xdr:rowOff>
    </xdr:from>
    <xdr:to>
      <xdr:col>11</xdr:col>
      <xdr:colOff>298050</xdr:colOff>
      <xdr:row>3</xdr:row>
      <xdr:rowOff>85618</xdr:rowOff>
    </xdr:to>
    <mc:AlternateContent xmlns:mc="http://schemas.openxmlformats.org/markup-compatibility/2006">
      <mc:Choice xmlns:a14="http://schemas.microsoft.com/office/drawing/2010/main" Requires="a14">
        <xdr:graphicFrame macro="">
          <xdr:nvGraphicFramePr>
            <xdr:cNvPr id="6" name="Department Name">
              <a:extLst>
                <a:ext uri="{FF2B5EF4-FFF2-40B4-BE49-F238E27FC236}">
                  <a16:creationId xmlns:a16="http://schemas.microsoft.com/office/drawing/2014/main" id="{07780792-6782-42AE-B0E4-B049778F0FF4}"/>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dr:sp macro="" textlink="">
          <xdr:nvSpPr>
            <xdr:cNvPr id="0" name=""/>
            <xdr:cNvSpPr>
              <a:spLocks noTextEdit="1"/>
            </xdr:cNvSpPr>
          </xdr:nvSpPr>
          <xdr:spPr>
            <a:xfrm>
              <a:off x="5196252" y="446523"/>
              <a:ext cx="1845936" cy="252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502755</xdr:colOff>
      <xdr:row>3</xdr:row>
      <xdr:rowOff>140756</xdr:rowOff>
    </xdr:from>
    <xdr:to>
      <xdr:col>7</xdr:col>
      <xdr:colOff>509380</xdr:colOff>
      <xdr:row>4</xdr:row>
      <xdr:rowOff>139129</xdr:rowOff>
    </xdr:to>
    <mc:AlternateContent xmlns:mc="http://schemas.openxmlformats.org/markup-compatibility/2006">
      <mc:Choice xmlns:a14="http://schemas.microsoft.com/office/drawing/2010/main" Requires="a14">
        <xdr:graphicFrame macro="">
          <xdr:nvGraphicFramePr>
            <xdr:cNvPr id="7" name="Year of Service">
              <a:extLst>
                <a:ext uri="{FF2B5EF4-FFF2-40B4-BE49-F238E27FC236}">
                  <a16:creationId xmlns:a16="http://schemas.microsoft.com/office/drawing/2014/main" id="{03FCD580-C143-48F5-A2AF-ADF6AE33718E}"/>
                </a:ext>
              </a:extLst>
            </xdr:cNvPr>
            <xdr:cNvGraphicFramePr/>
          </xdr:nvGraphicFramePr>
          <xdr:xfrm>
            <a:off x="0" y="0"/>
            <a:ext cx="0" cy="0"/>
          </xdr:xfrm>
          <a:graphic>
            <a:graphicData uri="http://schemas.microsoft.com/office/drawing/2010/slicer">
              <sle:slicer xmlns:sle="http://schemas.microsoft.com/office/drawing/2010/slicer" name="Year of Service"/>
            </a:graphicData>
          </a:graphic>
        </xdr:graphicFrame>
      </mc:Choice>
      <mc:Fallback>
        <xdr:sp macro="" textlink="">
          <xdr:nvSpPr>
            <xdr:cNvPr id="0" name=""/>
            <xdr:cNvSpPr>
              <a:spLocks noTextEdit="1"/>
            </xdr:cNvSpPr>
          </xdr:nvSpPr>
          <xdr:spPr>
            <a:xfrm>
              <a:off x="2955169" y="753859"/>
              <a:ext cx="1845935" cy="261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272657</xdr:colOff>
      <xdr:row>3</xdr:row>
      <xdr:rowOff>152156</xdr:rowOff>
    </xdr:from>
    <xdr:to>
      <xdr:col>11</xdr:col>
      <xdr:colOff>279283</xdr:colOff>
      <xdr:row>4</xdr:row>
      <xdr:rowOff>149831</xdr:rowOff>
    </xdr:to>
    <mc:AlternateContent xmlns:mc="http://schemas.openxmlformats.org/markup-compatibility/2006">
      <mc:Choice xmlns:a14="http://schemas.microsoft.com/office/drawing/2010/main" Requires="a14">
        <xdr:graphicFrame macro="">
          <xdr:nvGraphicFramePr>
            <xdr:cNvPr id="8" name="Performance Band">
              <a:extLst>
                <a:ext uri="{FF2B5EF4-FFF2-40B4-BE49-F238E27FC236}">
                  <a16:creationId xmlns:a16="http://schemas.microsoft.com/office/drawing/2014/main" id="{6D27791F-58D5-4A67-8102-878F8C3738DC}"/>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dr:sp macro="" textlink="">
          <xdr:nvSpPr>
            <xdr:cNvPr id="0" name=""/>
            <xdr:cNvSpPr>
              <a:spLocks noTextEdit="1"/>
            </xdr:cNvSpPr>
          </xdr:nvSpPr>
          <xdr:spPr>
            <a:xfrm>
              <a:off x="5177485" y="765259"/>
              <a:ext cx="1845936" cy="260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6207.219503125001" createdVersion="7" refreshedVersion="7" minRefreshableVersion="3" recordCount="150" xr:uid="{F6C2E86B-0C82-4851-A7B8-29F1831C1C46}">
  <cacheSource type="worksheet">
    <worksheetSource name="Table2"/>
  </cacheSource>
  <cacheFields count="12">
    <cacheField name="Emp ID" numFmtId="0">
      <sharedItems/>
    </cacheField>
    <cacheField name="Full Name" numFmtId="0">
      <sharedItems/>
    </cacheField>
    <cacheField name="Dept Code" numFmtId="0">
      <sharedItems/>
    </cacheField>
    <cacheField name="Hire Date" numFmtId="14">
      <sharedItems containsSemiMixedTypes="0" containsNonDate="0" containsDate="1" containsString="0" minDate="2015-01-04T00:00:00" maxDate="2023-12-13T00:00:00"/>
    </cacheField>
    <cacheField name="Salary" numFmtId="166">
      <sharedItems containsSemiMixedTypes="0" containsString="0" containsNumber="1" containsInteger="1" minValue="45196" maxValue="118947"/>
    </cacheField>
    <cacheField name="Perf_Score" numFmtId="0">
      <sharedItems containsSemiMixedTypes="0" containsString="0" containsNumber="1" containsInteger="1" minValue="30" maxValue="99"/>
    </cacheField>
    <cacheField name="Employment Status" numFmtId="0">
      <sharedItems count="3">
        <s v="Active"/>
        <s v="Left"/>
        <s v="Resigned"/>
      </sharedItems>
    </cacheField>
    <cacheField name="Department Name" numFmtId="0">
      <sharedItems count="6">
        <s v="Information Technology"/>
        <s v="Marketing"/>
        <s v="Finance"/>
        <s v="Operations"/>
        <s v="Sales"/>
        <s v="Human Resources"/>
      </sharedItems>
    </cacheField>
    <cacheField name="Year of Service" numFmtId="0">
      <sharedItems containsSemiMixedTypes="0" containsString="0" containsNumber="1" containsInteger="1" minValue="2" maxValue="11" count="10">
        <n v="8"/>
        <n v="4"/>
        <n v="10"/>
        <n v="3"/>
        <n v="6"/>
        <n v="2"/>
        <n v="5"/>
        <n v="9"/>
        <n v="7"/>
        <n v="11"/>
      </sharedItems>
    </cacheField>
    <cacheField name="Performance Band" numFmtId="0">
      <sharedItems count="5">
        <s v="Developing"/>
        <s v="Achieving"/>
        <s v="Needs Improvement"/>
        <s v="Exceeding"/>
        <s v="Outstanding"/>
      </sharedItems>
    </cacheField>
    <cacheField name="Bonus Percentage" numFmtId="10">
      <sharedItems containsSemiMixedTypes="0" containsString="0" containsNumber="1" minValue="0" maxValue="0.12"/>
    </cacheField>
    <cacheField name="Bonus Amount" numFmtId="164">
      <sharedItems containsSemiMixedTypes="0" containsString="0" containsNumber="1" minValue="0" maxValue="14273.64"/>
    </cacheField>
  </cacheFields>
  <extLst>
    <ext xmlns:x14="http://schemas.microsoft.com/office/spreadsheetml/2009/9/main" uri="{725AE2AE-9491-48be-B2B4-4EB974FC3084}">
      <x14:pivotCacheDefinition pivotCacheId="1228697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Brown"/>
    <s v="IT02"/>
    <d v="2017-12-24T00:00:00"/>
    <n v="50361"/>
    <n v="52"/>
    <x v="0"/>
    <x v="0"/>
    <x v="0"/>
    <x v="0"/>
    <n v="0.02"/>
    <n v="1007.22"/>
  </r>
  <r>
    <s v="EMP046"/>
    <s v="Richard Hernandez"/>
    <s v="MKT04"/>
    <d v="2022-04-08T00:00:00"/>
    <n v="112673"/>
    <n v="68"/>
    <x v="0"/>
    <x v="1"/>
    <x v="1"/>
    <x v="0"/>
    <n v="0.02"/>
    <n v="2253.46"/>
  </r>
  <r>
    <s v="EMP134"/>
    <s v="Emily Gonzalez"/>
    <s v="IT02"/>
    <d v="2016-03-02T00:00:00"/>
    <n v="114425"/>
    <n v="54"/>
    <x v="1"/>
    <x v="0"/>
    <x v="2"/>
    <x v="0"/>
    <n v="0.02"/>
    <n v="2288.5"/>
  </r>
  <r>
    <s v="EMP139"/>
    <s v="John Martinez"/>
    <s v="FIN03"/>
    <d v="2023-07-03T00:00:00"/>
    <n v="103831"/>
    <n v="70"/>
    <x v="0"/>
    <x v="2"/>
    <x v="3"/>
    <x v="1"/>
    <n v="0.05"/>
    <n v="5191.55"/>
  </r>
  <r>
    <s v="EMP112"/>
    <s v="Thomas Smith"/>
    <s v="IT02"/>
    <d v="2023-02-20T00:00:00"/>
    <n v="73785"/>
    <n v="40"/>
    <x v="1"/>
    <x v="0"/>
    <x v="3"/>
    <x v="2"/>
    <n v="0"/>
    <n v="0"/>
  </r>
  <r>
    <s v="EMP030"/>
    <s v="Emily Johnson"/>
    <s v="OPS06"/>
    <d v="2020-03-02T00:00:00"/>
    <n v="115882"/>
    <n v="49"/>
    <x v="0"/>
    <x v="3"/>
    <x v="4"/>
    <x v="2"/>
    <n v="0"/>
    <n v="0"/>
  </r>
  <r>
    <s v="EMP096"/>
    <s v="John Wilson"/>
    <s v="OPS06"/>
    <d v="2023-12-12T00:00:00"/>
    <n v="59980"/>
    <n v="70"/>
    <x v="1"/>
    <x v="3"/>
    <x v="5"/>
    <x v="1"/>
    <n v="0.05"/>
    <n v="2999"/>
  </r>
  <r>
    <s v="EMP098"/>
    <s v="Jessica Smith"/>
    <s v="OPS06"/>
    <d v="2020-12-09T00:00:00"/>
    <n v="68728"/>
    <n v="45"/>
    <x v="0"/>
    <x v="3"/>
    <x v="6"/>
    <x v="2"/>
    <n v="0"/>
    <n v="0"/>
  </r>
  <r>
    <s v="EMP095"/>
    <s v="Rodriguez"/>
    <s v="FIN03"/>
    <d v="2018-01-07T00:00:00"/>
    <n v="102139"/>
    <n v="79"/>
    <x v="0"/>
    <x v="2"/>
    <x v="0"/>
    <x v="1"/>
    <n v="0.05"/>
    <n v="5106.9500000000007"/>
  </r>
  <r>
    <s v="EMP140"/>
    <s v="Michael Martinez"/>
    <s v="SAL05"/>
    <d v="2016-11-02T00:00:00"/>
    <n v="94998"/>
    <n v="58"/>
    <x v="0"/>
    <x v="4"/>
    <x v="7"/>
    <x v="0"/>
    <n v="0.02"/>
    <n v="1899.96"/>
  </r>
  <r>
    <s v="EMP020"/>
    <s v="Emily Miller"/>
    <s v="SAL05"/>
    <d v="2020-03-21T00:00:00"/>
    <n v="118635"/>
    <n v="49"/>
    <x v="0"/>
    <x v="4"/>
    <x v="4"/>
    <x v="2"/>
    <n v="0"/>
    <n v="0"/>
  </r>
  <r>
    <s v="EMP057"/>
    <s v="Emily Hernandez"/>
    <s v="IT02"/>
    <d v="2016-02-25T00:00:00"/>
    <n v="76918"/>
    <n v="62"/>
    <x v="0"/>
    <x v="0"/>
    <x v="2"/>
    <x v="0"/>
    <n v="0.02"/>
    <n v="1538.3600000000001"/>
  </r>
  <r>
    <s v="EMP016"/>
    <s v="Jane Williams"/>
    <s v="MKT04"/>
    <d v="2021-06-17T00:00:00"/>
    <n v="61408"/>
    <n v="48"/>
    <x v="0"/>
    <x v="1"/>
    <x v="6"/>
    <x v="2"/>
    <n v="0"/>
    <n v="0"/>
  </r>
  <r>
    <s v="EMP070"/>
    <s v="Jane Miller"/>
    <s v="MKT04"/>
    <d v="2020-06-19T00:00:00"/>
    <n v="99990"/>
    <n v="54"/>
    <x v="0"/>
    <x v="1"/>
    <x v="4"/>
    <x v="0"/>
    <n v="0.02"/>
    <n v="1999.8"/>
  </r>
  <r>
    <s v="EMP025"/>
    <s v="Robert Jones"/>
    <s v="MKT04"/>
    <d v="2019-12-21T00:00:00"/>
    <n v="80385"/>
    <n v="68"/>
    <x v="0"/>
    <x v="1"/>
    <x v="4"/>
    <x v="0"/>
    <n v="0.02"/>
    <n v="1607.7"/>
  </r>
  <r>
    <s v="EMP031"/>
    <s v="Thomas Rodriguez"/>
    <s v="SAL05"/>
    <d v="2023-08-31T00:00:00"/>
    <n v="65290"/>
    <n v="77"/>
    <x v="0"/>
    <x v="4"/>
    <x v="5"/>
    <x v="1"/>
    <n v="0.05"/>
    <n v="3264.5"/>
  </r>
  <r>
    <s v="EMP126"/>
    <s v="Emily Davis"/>
    <s v="IT02"/>
    <d v="2015-11-29T00:00:00"/>
    <n v="105765"/>
    <n v="42"/>
    <x v="0"/>
    <x v="0"/>
    <x v="2"/>
    <x v="2"/>
    <n v="0"/>
    <n v="0"/>
  </r>
  <r>
    <s v="EMP109"/>
    <s v="James Martinez"/>
    <s v="SAL05"/>
    <d v="2017-06-13T00:00:00"/>
    <n v="102921"/>
    <n v="49"/>
    <x v="0"/>
    <x v="4"/>
    <x v="7"/>
    <x v="2"/>
    <n v="0"/>
    <n v="0"/>
  </r>
  <r>
    <s v="EMP066"/>
    <s v="Ashley Lopez"/>
    <s v="MKT04"/>
    <d v="2018-05-15T00:00:00"/>
    <n v="73984"/>
    <n v="93"/>
    <x v="0"/>
    <x v="1"/>
    <x v="0"/>
    <x v="3"/>
    <n v="0.08"/>
    <n v="5918.72"/>
  </r>
  <r>
    <s v="EMP120"/>
    <s v="Amanda Gonzalez"/>
    <s v="IT02"/>
    <d v="2016-07-24T00:00:00"/>
    <n v="83604"/>
    <n v="75"/>
    <x v="0"/>
    <x v="0"/>
    <x v="7"/>
    <x v="1"/>
    <n v="0.05"/>
    <n v="4180.2"/>
  </r>
  <r>
    <s v="EMP019"/>
    <s v="Michael Hernandez"/>
    <s v="FIN03"/>
    <d v="2017-12-07T00:00:00"/>
    <n v="118527"/>
    <n v="50"/>
    <x v="0"/>
    <x v="2"/>
    <x v="0"/>
    <x v="0"/>
    <n v="0.02"/>
    <n v="2370.54"/>
  </r>
  <r>
    <s v="EMP013"/>
    <s v="Richard Hernandez"/>
    <s v="MKT04"/>
    <d v="2021-06-06T00:00:00"/>
    <n v="107871"/>
    <n v="88"/>
    <x v="0"/>
    <x v="1"/>
    <x v="6"/>
    <x v="3"/>
    <n v="0.08"/>
    <n v="8629.68"/>
  </r>
  <r>
    <s v="EMP010"/>
    <s v="Michael Rodriguez"/>
    <s v="IT02"/>
    <d v="2022-09-11T00:00:00"/>
    <n v="93956"/>
    <n v="50"/>
    <x v="1"/>
    <x v="0"/>
    <x v="3"/>
    <x v="0"/>
    <n v="0.02"/>
    <n v="1879.1200000000001"/>
  </r>
  <r>
    <s v="EMP032"/>
    <s v="Jessica Johnson"/>
    <s v="FIN03"/>
    <d v="2016-07-14T00:00:00"/>
    <n v="100851"/>
    <n v="64"/>
    <x v="0"/>
    <x v="2"/>
    <x v="7"/>
    <x v="0"/>
    <n v="0.02"/>
    <n v="2017.02"/>
  </r>
  <r>
    <s v="EMP082"/>
    <s v="Ashley Williams"/>
    <s v="SAL05"/>
    <d v="2022-06-16T00:00:00"/>
    <n v="68655"/>
    <n v="32"/>
    <x v="0"/>
    <x v="4"/>
    <x v="1"/>
    <x v="2"/>
    <n v="0"/>
    <n v="0"/>
  </r>
  <r>
    <s v="EMP052"/>
    <s v="Williams"/>
    <s v="SAL05"/>
    <d v="2023-07-27T00:00:00"/>
    <n v="81205"/>
    <n v="59"/>
    <x v="0"/>
    <x v="4"/>
    <x v="5"/>
    <x v="0"/>
    <n v="0.02"/>
    <n v="1624.1000000000001"/>
  </r>
  <r>
    <s v="EMP129"/>
    <s v="John Wilson"/>
    <s v="SAL05"/>
    <d v="2019-09-24T00:00:00"/>
    <n v="77610"/>
    <n v="88"/>
    <x v="0"/>
    <x v="4"/>
    <x v="4"/>
    <x v="3"/>
    <n v="0.08"/>
    <n v="6208.8"/>
  </r>
  <r>
    <s v="EMP146"/>
    <s v="Thomas Rodriguez"/>
    <s v="IT02"/>
    <d v="2022-07-23T00:00:00"/>
    <n v="50873"/>
    <n v="90"/>
    <x v="0"/>
    <x v="0"/>
    <x v="3"/>
    <x v="3"/>
    <n v="0.08"/>
    <n v="4069.84"/>
  </r>
  <r>
    <s v="EMP099"/>
    <s v="Michael Wilson"/>
    <s v="FIN03"/>
    <d v="2018-05-13T00:00:00"/>
    <n v="85312"/>
    <n v="66"/>
    <x v="0"/>
    <x v="2"/>
    <x v="0"/>
    <x v="0"/>
    <n v="0.02"/>
    <n v="1706.24"/>
  </r>
  <r>
    <s v="EMP015"/>
    <s v="John Rodriguez"/>
    <s v="SAL05"/>
    <d v="2015-07-17T00:00:00"/>
    <n v="83604"/>
    <n v="68"/>
    <x v="0"/>
    <x v="4"/>
    <x v="2"/>
    <x v="0"/>
    <n v="0.02"/>
    <n v="1672.08"/>
  </r>
  <r>
    <s v="EMP076"/>
    <s v="Thomas Hernandez"/>
    <s v="OPS06"/>
    <d v="2015-08-05T00:00:00"/>
    <n v="97055"/>
    <n v="80"/>
    <x v="0"/>
    <x v="3"/>
    <x v="2"/>
    <x v="1"/>
    <n v="0.05"/>
    <n v="4852.75"/>
  </r>
  <r>
    <s v="EMP137"/>
    <s v="Michael Johnson"/>
    <s v="IT02"/>
    <d v="2023-09-26T00:00:00"/>
    <n v="66069"/>
    <n v="72"/>
    <x v="0"/>
    <x v="0"/>
    <x v="5"/>
    <x v="1"/>
    <n v="0.05"/>
    <n v="3303.4500000000003"/>
  </r>
  <r>
    <s v="EMP056"/>
    <s v="Sarah Brown"/>
    <s v="IT02"/>
    <d v="2019-06-10T00:00:00"/>
    <n v="90157"/>
    <n v="58"/>
    <x v="0"/>
    <x v="0"/>
    <x v="8"/>
    <x v="0"/>
    <n v="0.02"/>
    <n v="1803.14"/>
  </r>
  <r>
    <s v="EMP125"/>
    <s v="Jane Martinez"/>
    <s v="HR01"/>
    <d v="2022-01-17T00:00:00"/>
    <n v="59899"/>
    <n v="78"/>
    <x v="0"/>
    <x v="5"/>
    <x v="1"/>
    <x v="1"/>
    <n v="0.05"/>
    <n v="2994.9500000000003"/>
  </r>
  <r>
    <s v="EMP085"/>
    <s v="Emily Jones"/>
    <s v="FIN03"/>
    <d v="2017-07-03T00:00:00"/>
    <n v="113389"/>
    <n v="30"/>
    <x v="0"/>
    <x v="2"/>
    <x v="7"/>
    <x v="2"/>
    <n v="0"/>
    <n v="0"/>
  </r>
  <r>
    <s v="EMP106"/>
    <s v="Brown"/>
    <s v="IT02"/>
    <d v="2015-09-01T00:00:00"/>
    <n v="102691"/>
    <n v="52"/>
    <x v="0"/>
    <x v="0"/>
    <x v="2"/>
    <x v="0"/>
    <n v="0.02"/>
    <n v="2053.8200000000002"/>
  </r>
  <r>
    <s v="EMP043"/>
    <s v="John Wilson"/>
    <s v="OPS06"/>
    <d v="2022-08-03T00:00:00"/>
    <n v="111845"/>
    <n v="98"/>
    <x v="0"/>
    <x v="3"/>
    <x v="3"/>
    <x v="4"/>
    <n v="0.12"/>
    <n v="13421.4"/>
  </r>
  <r>
    <s v="EMP068"/>
    <s v="Melissa Brown"/>
    <s v="SAL05"/>
    <d v="2022-06-29T00:00:00"/>
    <n v="69219"/>
    <n v="93"/>
    <x v="0"/>
    <x v="4"/>
    <x v="1"/>
    <x v="3"/>
    <n v="0.08"/>
    <n v="5537.52"/>
  </r>
  <r>
    <s v="EMP128"/>
    <s v="Michael Smith"/>
    <s v="FIN03"/>
    <d v="2020-04-28T00:00:00"/>
    <n v="83604"/>
    <n v="80"/>
    <x v="1"/>
    <x v="2"/>
    <x v="4"/>
    <x v="1"/>
    <n v="0.05"/>
    <n v="4180.2"/>
  </r>
  <r>
    <s v="EMP027"/>
    <s v="Sarah Miller"/>
    <s v="OPS06"/>
    <d v="2017-09-09T00:00:00"/>
    <n v="57514"/>
    <n v="68"/>
    <x v="0"/>
    <x v="3"/>
    <x v="0"/>
    <x v="0"/>
    <n v="0.02"/>
    <n v="1150.28"/>
  </r>
  <r>
    <s v="EMP136"/>
    <s v="Emily Wilson"/>
    <s v="SAL05"/>
    <d v="2018-03-22T00:00:00"/>
    <n v="86245"/>
    <n v="71"/>
    <x v="1"/>
    <x v="4"/>
    <x v="0"/>
    <x v="1"/>
    <n v="0.05"/>
    <n v="4312.25"/>
  </r>
  <r>
    <s v="EMP079"/>
    <s v="David Hernandez"/>
    <s v="SAL05"/>
    <d v="2020-05-07T00:00:00"/>
    <n v="52407"/>
    <n v="55"/>
    <x v="0"/>
    <x v="4"/>
    <x v="4"/>
    <x v="0"/>
    <n v="0.02"/>
    <n v="1048.1400000000001"/>
  </r>
  <r>
    <s v="EMP149"/>
    <s v="James Smith"/>
    <s v="OPS06"/>
    <d v="2019-03-25T00:00:00"/>
    <n v="66606"/>
    <n v="93"/>
    <x v="2"/>
    <x v="3"/>
    <x v="8"/>
    <x v="3"/>
    <n v="0.08"/>
    <n v="5328.4800000000005"/>
  </r>
  <r>
    <s v="EMP037"/>
    <s v="Sarah Williams"/>
    <s v="IT02"/>
    <d v="2019-08-09T00:00:00"/>
    <n v="81896"/>
    <n v="79"/>
    <x v="2"/>
    <x v="0"/>
    <x v="4"/>
    <x v="1"/>
    <n v="0.05"/>
    <n v="4094.8"/>
  </r>
  <r>
    <s v="EMP077"/>
    <s v="Amanda Lopez"/>
    <s v="SAL05"/>
    <d v="2016-07-14T00:00:00"/>
    <n v="78402"/>
    <n v="54"/>
    <x v="0"/>
    <x v="4"/>
    <x v="7"/>
    <x v="0"/>
    <n v="0.02"/>
    <n v="1568.04"/>
  </r>
  <r>
    <s v="EMP023"/>
    <s v="Thomas Lopez"/>
    <s v="OPS06"/>
    <d v="2016-10-04T00:00:00"/>
    <n v="105498"/>
    <n v="76"/>
    <x v="0"/>
    <x v="3"/>
    <x v="7"/>
    <x v="1"/>
    <n v="0.05"/>
    <n v="5274.9000000000005"/>
  </r>
  <r>
    <s v="EMP133"/>
    <s v="Melissa Johnson"/>
    <s v="MKT04"/>
    <d v="2019-07-10T00:00:00"/>
    <n v="91749"/>
    <n v="72"/>
    <x v="1"/>
    <x v="1"/>
    <x v="4"/>
    <x v="1"/>
    <n v="0.05"/>
    <n v="4587.45"/>
  </r>
  <r>
    <s v="EMP141"/>
    <s v="Amanda Johnson"/>
    <s v="OPS06"/>
    <d v="2021-08-29T00:00:00"/>
    <n v="99935"/>
    <n v="84"/>
    <x v="2"/>
    <x v="3"/>
    <x v="1"/>
    <x v="1"/>
    <n v="0.05"/>
    <n v="4996.75"/>
  </r>
  <r>
    <s v="EMP012"/>
    <s v="John Davis"/>
    <s v="IT02"/>
    <d v="2017-01-26T00:00:00"/>
    <n v="83531"/>
    <n v="30"/>
    <x v="1"/>
    <x v="0"/>
    <x v="7"/>
    <x v="2"/>
    <n v="0"/>
    <n v="0"/>
  </r>
  <r>
    <s v="EMP080"/>
    <s v="James Johnson"/>
    <s v="MKT04"/>
    <d v="2020-05-30T00:00:00"/>
    <n v="75023"/>
    <n v="68"/>
    <x v="0"/>
    <x v="1"/>
    <x v="4"/>
    <x v="0"/>
    <n v="0.02"/>
    <n v="1500.46"/>
  </r>
  <r>
    <s v="EMP069"/>
    <s v="Jane Davis"/>
    <s v="HR01"/>
    <d v="2022-02-20T00:00:00"/>
    <n v="93290"/>
    <n v="53"/>
    <x v="0"/>
    <x v="5"/>
    <x v="1"/>
    <x v="0"/>
    <n v="0.02"/>
    <n v="1865.8"/>
  </r>
  <r>
    <s v="EMP150"/>
    <s v="Richard Davis"/>
    <s v="OPS06"/>
    <d v="2016-09-15T00:00:00"/>
    <n v="115527"/>
    <n v="63"/>
    <x v="2"/>
    <x v="3"/>
    <x v="7"/>
    <x v="0"/>
    <n v="0.02"/>
    <n v="2310.54"/>
  </r>
  <r>
    <s v="EMP028"/>
    <s v="Thomas Rodriguez"/>
    <s v="FIN03"/>
    <d v="2019-10-07T00:00:00"/>
    <n v="55920"/>
    <n v="84"/>
    <x v="0"/>
    <x v="2"/>
    <x v="4"/>
    <x v="1"/>
    <n v="0.05"/>
    <n v="2796"/>
  </r>
  <r>
    <s v="EMP087"/>
    <s v="Emily Johnson"/>
    <s v="SAL05"/>
    <d v="2018-12-30T00:00:00"/>
    <n v="80189"/>
    <n v="30"/>
    <x v="0"/>
    <x v="4"/>
    <x v="8"/>
    <x v="2"/>
    <n v="0"/>
    <n v="0"/>
  </r>
  <r>
    <s v="EMP119"/>
    <s v="Emily Garcia"/>
    <s v="HR01"/>
    <d v="2020-12-24T00:00:00"/>
    <n v="118947"/>
    <n v="96"/>
    <x v="0"/>
    <x v="5"/>
    <x v="6"/>
    <x v="4"/>
    <n v="0.12"/>
    <n v="14273.64"/>
  </r>
  <r>
    <s v="EMP042"/>
    <s v="Jane Anderson"/>
    <s v="IT02"/>
    <d v="2023-07-05T00:00:00"/>
    <n v="83604"/>
    <n v="54"/>
    <x v="0"/>
    <x v="0"/>
    <x v="5"/>
    <x v="0"/>
    <n v="0.02"/>
    <n v="1672.08"/>
  </r>
  <r>
    <s v="EMP005"/>
    <s v="Thomas Garcia"/>
    <s v="OPS06"/>
    <d v="2020-11-13T00:00:00"/>
    <n v="83604"/>
    <n v="75"/>
    <x v="0"/>
    <x v="3"/>
    <x v="6"/>
    <x v="1"/>
    <n v="0.05"/>
    <n v="4180.2"/>
  </r>
  <r>
    <s v="EMP033"/>
    <s v="David Martinez"/>
    <s v="HR01"/>
    <d v="2018-02-07T00:00:00"/>
    <n v="91655"/>
    <n v="95"/>
    <x v="0"/>
    <x v="5"/>
    <x v="0"/>
    <x v="4"/>
    <n v="0.12"/>
    <n v="10998.6"/>
  </r>
  <r>
    <s v="EMP061"/>
    <s v="Emily Brown"/>
    <s v="IT02"/>
    <d v="2023-11-25T00:00:00"/>
    <n v="49435"/>
    <n v="68"/>
    <x v="1"/>
    <x v="0"/>
    <x v="5"/>
    <x v="0"/>
    <n v="0.02"/>
    <n v="988.7"/>
  </r>
  <r>
    <s v="EMP102"/>
    <s v="Emily Wilson"/>
    <s v="SAL05"/>
    <d v="2023-10-18T00:00:00"/>
    <n v="110381"/>
    <n v="93"/>
    <x v="0"/>
    <x v="4"/>
    <x v="5"/>
    <x v="3"/>
    <n v="0.08"/>
    <n v="8830.48"/>
  </r>
  <r>
    <s v="EMP067"/>
    <s v="Michael Anderson"/>
    <s v="HR01"/>
    <d v="2020-09-05T00:00:00"/>
    <n v="114748"/>
    <n v="33"/>
    <x v="0"/>
    <x v="5"/>
    <x v="6"/>
    <x v="2"/>
    <n v="0"/>
    <n v="0"/>
  </r>
  <r>
    <s v="EMP017"/>
    <s v="Robert Johnson"/>
    <s v="OPS06"/>
    <d v="2017-03-06T00:00:00"/>
    <n v="63302"/>
    <n v="91"/>
    <x v="0"/>
    <x v="3"/>
    <x v="7"/>
    <x v="3"/>
    <n v="0.08"/>
    <n v="5064.16"/>
  </r>
  <r>
    <s v="EMP123"/>
    <s v="Robert Miller"/>
    <s v="IT02"/>
    <d v="2015-04-28T00:00:00"/>
    <n v="75519"/>
    <n v="64"/>
    <x v="0"/>
    <x v="0"/>
    <x v="9"/>
    <x v="0"/>
    <n v="0.02"/>
    <n v="1510.38"/>
  </r>
  <r>
    <s v="EMP011"/>
    <s v="Jane Davis"/>
    <s v="FIN03"/>
    <d v="2017-04-13T00:00:00"/>
    <n v="103891"/>
    <n v="80"/>
    <x v="0"/>
    <x v="2"/>
    <x v="7"/>
    <x v="1"/>
    <n v="0.05"/>
    <n v="5194.55"/>
  </r>
  <r>
    <s v="EMP091"/>
    <s v="Thomas Davis"/>
    <s v="OPS06"/>
    <d v="2022-09-23T00:00:00"/>
    <n v="83604"/>
    <n v="46"/>
    <x v="1"/>
    <x v="3"/>
    <x v="3"/>
    <x v="2"/>
    <n v="0"/>
    <n v="0"/>
  </r>
  <r>
    <s v="EMP145"/>
    <s v="Thomas Jones"/>
    <s v="MKT04"/>
    <d v="2016-11-11T00:00:00"/>
    <n v="50936"/>
    <n v="99"/>
    <x v="0"/>
    <x v="1"/>
    <x v="7"/>
    <x v="4"/>
    <n v="0.12"/>
    <n v="6112.32"/>
  </r>
  <r>
    <s v="EMP001"/>
    <s v="Michael Miller"/>
    <s v="SAL05"/>
    <d v="2017-03-24T00:00:00"/>
    <n v="111240"/>
    <n v="68"/>
    <x v="0"/>
    <x v="4"/>
    <x v="7"/>
    <x v="0"/>
    <n v="0.02"/>
    <n v="2224.8000000000002"/>
  </r>
  <r>
    <s v="EMP113"/>
    <s v="Richard Gonzalez"/>
    <s v="HR01"/>
    <d v="2019-05-05T00:00:00"/>
    <n v="51567"/>
    <n v="87"/>
    <x v="2"/>
    <x v="5"/>
    <x v="8"/>
    <x v="3"/>
    <n v="0.08"/>
    <n v="4125.3599999999997"/>
  </r>
  <r>
    <s v="EMP065"/>
    <s v="Melissa Williams"/>
    <s v="HR01"/>
    <d v="2021-07-25T00:00:00"/>
    <n v="83604"/>
    <n v="36"/>
    <x v="0"/>
    <x v="5"/>
    <x v="1"/>
    <x v="2"/>
    <n v="0"/>
    <n v="0"/>
  </r>
  <r>
    <s v="EMP045"/>
    <s v="Robert Miller"/>
    <s v="HR01"/>
    <d v="2017-09-30T00:00:00"/>
    <n v="55270"/>
    <n v="87"/>
    <x v="0"/>
    <x v="5"/>
    <x v="0"/>
    <x v="3"/>
    <n v="0.08"/>
    <n v="4421.6000000000004"/>
  </r>
  <r>
    <s v="EMP083"/>
    <s v="William Garcia"/>
    <s v="SAL05"/>
    <d v="2015-07-07T00:00:00"/>
    <n v="65235"/>
    <n v="97"/>
    <x v="0"/>
    <x v="4"/>
    <x v="2"/>
    <x v="4"/>
    <n v="0.12"/>
    <n v="7828.2"/>
  </r>
  <r>
    <s v="EMP029"/>
    <s v="John Gonzalez"/>
    <s v="SAL05"/>
    <d v="2018-07-02T00:00:00"/>
    <n v="83604"/>
    <n v="72"/>
    <x v="1"/>
    <x v="4"/>
    <x v="0"/>
    <x v="1"/>
    <n v="0.05"/>
    <n v="4180.2"/>
  </r>
  <r>
    <s v="EMP041"/>
    <s v="James Gonzalez"/>
    <s v="SAL05"/>
    <d v="2022-09-15T00:00:00"/>
    <n v="83604"/>
    <n v="65"/>
    <x v="1"/>
    <x v="4"/>
    <x v="3"/>
    <x v="0"/>
    <n v="0.02"/>
    <n v="1672.08"/>
  </r>
  <r>
    <s v="EMP026"/>
    <s v="Jane Gonzalez"/>
    <s v="SAL05"/>
    <d v="2015-09-02T00:00:00"/>
    <n v="83604"/>
    <n v="67"/>
    <x v="0"/>
    <x v="4"/>
    <x v="2"/>
    <x v="0"/>
    <n v="0.02"/>
    <n v="1672.08"/>
  </r>
  <r>
    <s v="EMP024"/>
    <s v="David Wilson"/>
    <s v="OPS06"/>
    <d v="2016-10-11T00:00:00"/>
    <n v="48823"/>
    <n v="34"/>
    <x v="0"/>
    <x v="3"/>
    <x v="7"/>
    <x v="2"/>
    <n v="0"/>
    <n v="0"/>
  </r>
  <r>
    <s v="EMP111"/>
    <s v="Jane Gonzalez"/>
    <s v="FIN03"/>
    <d v="2019-04-20T00:00:00"/>
    <n v="45196"/>
    <n v="78"/>
    <x v="1"/>
    <x v="2"/>
    <x v="8"/>
    <x v="1"/>
    <n v="0.05"/>
    <n v="2259.8000000000002"/>
  </r>
  <r>
    <s v="EMP040"/>
    <s v="Jane Rodriguez"/>
    <s v="IT02"/>
    <d v="2017-02-19T00:00:00"/>
    <n v="86246"/>
    <n v="61"/>
    <x v="0"/>
    <x v="0"/>
    <x v="7"/>
    <x v="0"/>
    <n v="0.02"/>
    <n v="1724.92"/>
  </r>
  <r>
    <s v="EMP086"/>
    <s v="Emily Miller"/>
    <s v="SAL05"/>
    <d v="2021-09-07T00:00:00"/>
    <n v="70359"/>
    <n v="74"/>
    <x v="1"/>
    <x v="4"/>
    <x v="1"/>
    <x v="1"/>
    <n v="0.05"/>
    <n v="3517.9500000000003"/>
  </r>
  <r>
    <s v="EMP124"/>
    <s v="Sarah Miller"/>
    <s v="MKT04"/>
    <d v="2019-05-14T00:00:00"/>
    <n v="83604"/>
    <n v="94"/>
    <x v="0"/>
    <x v="1"/>
    <x v="8"/>
    <x v="3"/>
    <n v="0.08"/>
    <n v="6688.32"/>
  </r>
  <r>
    <s v="EMP132"/>
    <s v="Jessica Garcia"/>
    <s v="OPS06"/>
    <d v="2015-11-22T00:00:00"/>
    <n v="86480"/>
    <n v="68"/>
    <x v="0"/>
    <x v="3"/>
    <x v="2"/>
    <x v="0"/>
    <n v="0.02"/>
    <n v="1729.6000000000001"/>
  </r>
  <r>
    <s v="EMP048"/>
    <s v="Richard Smith"/>
    <s v="HR01"/>
    <d v="2018-09-29T00:00:00"/>
    <n v="47694"/>
    <n v="75"/>
    <x v="0"/>
    <x v="5"/>
    <x v="8"/>
    <x v="1"/>
    <n v="0.05"/>
    <n v="2384.7000000000003"/>
  </r>
  <r>
    <s v="EMP114"/>
    <s v="Melissa Wilson"/>
    <s v="IT02"/>
    <d v="2023-09-02T00:00:00"/>
    <n v="83724"/>
    <n v="81"/>
    <x v="2"/>
    <x v="0"/>
    <x v="5"/>
    <x v="1"/>
    <n v="0.05"/>
    <n v="4186.2"/>
  </r>
  <r>
    <s v="EMP062"/>
    <s v="Thomas Williams"/>
    <s v="FIN03"/>
    <d v="2022-07-17T00:00:00"/>
    <n v="98299"/>
    <n v="61"/>
    <x v="0"/>
    <x v="2"/>
    <x v="3"/>
    <x v="0"/>
    <n v="0.02"/>
    <n v="1965.98"/>
  </r>
  <r>
    <s v="EMP074"/>
    <s v="David Williams"/>
    <s v="FIN03"/>
    <d v="2021-02-07T00:00:00"/>
    <n v="83604"/>
    <n v="68"/>
    <x v="0"/>
    <x v="2"/>
    <x v="6"/>
    <x v="0"/>
    <n v="0.02"/>
    <n v="1672.08"/>
  </r>
  <r>
    <s v="EMP034"/>
    <s v="John Johnson"/>
    <s v="IT02"/>
    <d v="2023-10-04T00:00:00"/>
    <n v="52287"/>
    <n v="70"/>
    <x v="0"/>
    <x v="0"/>
    <x v="5"/>
    <x v="1"/>
    <n v="0.05"/>
    <n v="2614.3500000000004"/>
  </r>
  <r>
    <s v="EMP105"/>
    <s v="Richard Gonzalez"/>
    <s v="IT02"/>
    <d v="2020-08-30T00:00:00"/>
    <n v="82633"/>
    <n v="98"/>
    <x v="0"/>
    <x v="0"/>
    <x v="6"/>
    <x v="4"/>
    <n v="0.12"/>
    <n v="9915.9599999999991"/>
  </r>
  <r>
    <s v="EMP118"/>
    <s v="Melissa Anderson"/>
    <s v="OPS06"/>
    <d v="2021-08-14T00:00:00"/>
    <n v="46508"/>
    <n v="34"/>
    <x v="0"/>
    <x v="3"/>
    <x v="1"/>
    <x v="2"/>
    <n v="0"/>
    <n v="0"/>
  </r>
  <r>
    <s v="EMP063"/>
    <s v="Emily Gonzalez"/>
    <s v="HR01"/>
    <d v="2019-11-27T00:00:00"/>
    <n v="86232"/>
    <n v="93"/>
    <x v="0"/>
    <x v="5"/>
    <x v="4"/>
    <x v="3"/>
    <n v="0.08"/>
    <n v="6898.56"/>
  </r>
  <r>
    <s v="EMP094"/>
    <s v="Jane Davis"/>
    <s v="IT02"/>
    <d v="2017-05-25T00:00:00"/>
    <n v="77545"/>
    <n v="48"/>
    <x v="0"/>
    <x v="0"/>
    <x v="7"/>
    <x v="2"/>
    <n v="0"/>
    <n v="0"/>
  </r>
  <r>
    <s v="EMP097"/>
    <s v="William Gonzalez"/>
    <s v="OPS06"/>
    <d v="2018-12-02T00:00:00"/>
    <n v="68683"/>
    <n v="90"/>
    <x v="0"/>
    <x v="3"/>
    <x v="8"/>
    <x v="3"/>
    <n v="0.08"/>
    <n v="5494.64"/>
  </r>
  <r>
    <s v="EMP054"/>
    <s v="Thomas Jones"/>
    <s v="FIN03"/>
    <d v="2019-06-23T00:00:00"/>
    <n v="83932"/>
    <n v="57"/>
    <x v="1"/>
    <x v="2"/>
    <x v="8"/>
    <x v="0"/>
    <n v="0.02"/>
    <n v="1678.64"/>
  </r>
  <r>
    <s v="EMP006"/>
    <s v="Jessica Anderson"/>
    <s v="HR01"/>
    <d v="2015-10-27T00:00:00"/>
    <n v="56073"/>
    <n v="79"/>
    <x v="0"/>
    <x v="5"/>
    <x v="2"/>
    <x v="1"/>
    <n v="0.05"/>
    <n v="2803.65"/>
  </r>
  <r>
    <s v="EMP110"/>
    <s v="Melissa Johnson"/>
    <s v="IT02"/>
    <d v="2018-06-19T00:00:00"/>
    <n v="88056"/>
    <n v="66"/>
    <x v="0"/>
    <x v="0"/>
    <x v="0"/>
    <x v="0"/>
    <n v="0.02"/>
    <n v="1761.1200000000001"/>
  </r>
  <r>
    <s v="EMP147"/>
    <s v="Thomas Miller"/>
    <s v="OPS06"/>
    <d v="2018-01-12T00:00:00"/>
    <n v="67414"/>
    <n v="84"/>
    <x v="1"/>
    <x v="3"/>
    <x v="0"/>
    <x v="1"/>
    <n v="0.05"/>
    <n v="3370.7000000000003"/>
  </r>
  <r>
    <s v="EMP050"/>
    <s v="William Gonzalez"/>
    <s v="SAL05"/>
    <d v="2015-01-04T00:00:00"/>
    <n v="115288"/>
    <n v="61"/>
    <x v="0"/>
    <x v="4"/>
    <x v="9"/>
    <x v="0"/>
    <n v="0.02"/>
    <n v="2305.7600000000002"/>
  </r>
  <r>
    <s v="EMP036"/>
    <s v="Smith"/>
    <s v="SAL05"/>
    <d v="2018-12-05T00:00:00"/>
    <n v="80140"/>
    <n v="58"/>
    <x v="0"/>
    <x v="4"/>
    <x v="8"/>
    <x v="0"/>
    <n v="0.02"/>
    <n v="1602.8"/>
  </r>
  <r>
    <s v="EMP081"/>
    <s v="John Johnson"/>
    <s v="IT02"/>
    <d v="2021-10-13T00:00:00"/>
    <n v="73087"/>
    <n v="69"/>
    <x v="0"/>
    <x v="0"/>
    <x v="1"/>
    <x v="0"/>
    <n v="0.02"/>
    <n v="1461.74"/>
  </r>
  <r>
    <s v="EMP078"/>
    <s v="Jane Johnson"/>
    <s v="SAL05"/>
    <d v="2020-09-07T00:00:00"/>
    <n v="95292"/>
    <n v="34"/>
    <x v="0"/>
    <x v="4"/>
    <x v="6"/>
    <x v="2"/>
    <n v="0"/>
    <n v="0"/>
  </r>
  <r>
    <s v="EMP035"/>
    <s v="John Jones"/>
    <s v="IT02"/>
    <d v="2019-03-08T00:00:00"/>
    <n v="83604"/>
    <n v="33"/>
    <x v="0"/>
    <x v="0"/>
    <x v="8"/>
    <x v="2"/>
    <n v="0"/>
    <n v="0"/>
  </r>
  <r>
    <s v="EMP047"/>
    <s v="Jane Lopez"/>
    <s v="MKT04"/>
    <d v="2015-03-11T00:00:00"/>
    <n v="101750"/>
    <n v="84"/>
    <x v="1"/>
    <x v="1"/>
    <x v="9"/>
    <x v="1"/>
    <n v="0.05"/>
    <n v="5087.5"/>
  </r>
  <r>
    <s v="EMP008"/>
    <s v="Melissa Gonzalez"/>
    <s v="MKT04"/>
    <d v="2017-02-19T00:00:00"/>
    <n v="82992"/>
    <n v="79"/>
    <x v="0"/>
    <x v="1"/>
    <x v="7"/>
    <x v="1"/>
    <n v="0.05"/>
    <n v="4149.6000000000004"/>
  </r>
  <r>
    <s v="EMP044"/>
    <s v="William Davis"/>
    <s v="IT02"/>
    <d v="2023-05-09T00:00:00"/>
    <n v="49942"/>
    <n v="51"/>
    <x v="0"/>
    <x v="0"/>
    <x v="3"/>
    <x v="0"/>
    <n v="0.02"/>
    <n v="998.84"/>
  </r>
  <r>
    <s v="EMP071"/>
    <s v="John Smith"/>
    <s v="OPS06"/>
    <d v="2018-01-22T00:00:00"/>
    <n v="89060"/>
    <n v="58"/>
    <x v="0"/>
    <x v="3"/>
    <x v="0"/>
    <x v="0"/>
    <n v="0.02"/>
    <n v="1781.2"/>
  </r>
  <r>
    <s v="EMP115"/>
    <s v="James Gonzalez"/>
    <s v="IT02"/>
    <d v="2020-02-18T00:00:00"/>
    <n v="53786"/>
    <n v="98"/>
    <x v="0"/>
    <x v="0"/>
    <x v="4"/>
    <x v="4"/>
    <n v="0.12"/>
    <n v="6454.32"/>
  </r>
  <r>
    <s v="EMP092"/>
    <s v="Emily Johnson"/>
    <s v="OPS06"/>
    <d v="2016-05-22T00:00:00"/>
    <n v="81167"/>
    <n v="68"/>
    <x v="0"/>
    <x v="3"/>
    <x v="2"/>
    <x v="0"/>
    <n v="0.02"/>
    <n v="1623.3400000000001"/>
  </r>
  <r>
    <s v="EMP084"/>
    <s v="William Williams"/>
    <s v="MKT04"/>
    <d v="2021-06-02T00:00:00"/>
    <n v="66688"/>
    <n v="40"/>
    <x v="1"/>
    <x v="1"/>
    <x v="6"/>
    <x v="2"/>
    <n v="0"/>
    <n v="0"/>
  </r>
  <r>
    <s v="EMP142"/>
    <s v="James Jones"/>
    <s v="IT02"/>
    <d v="2021-07-17T00:00:00"/>
    <n v="91672"/>
    <n v="88"/>
    <x v="0"/>
    <x v="0"/>
    <x v="1"/>
    <x v="3"/>
    <n v="0.08"/>
    <n v="7333.76"/>
  </r>
  <r>
    <s v="EMP143"/>
    <s v="Jessica Gonzalez"/>
    <s v="HR01"/>
    <d v="2016-11-13T00:00:00"/>
    <n v="77737"/>
    <n v="77"/>
    <x v="0"/>
    <x v="5"/>
    <x v="7"/>
    <x v="1"/>
    <n v="0.05"/>
    <n v="3886.8500000000004"/>
  </r>
  <r>
    <s v="EMP090"/>
    <s v="Sarah Miller"/>
    <s v="SAL05"/>
    <d v="2019-02-17T00:00:00"/>
    <n v="95686"/>
    <n v="91"/>
    <x v="0"/>
    <x v="4"/>
    <x v="8"/>
    <x v="3"/>
    <n v="0.08"/>
    <n v="7654.88"/>
  </r>
  <r>
    <s v="EMP009"/>
    <s v="Jessica Smith"/>
    <s v="SAL05"/>
    <d v="2016-09-12T00:00:00"/>
    <n v="114681"/>
    <n v="36"/>
    <x v="0"/>
    <x v="4"/>
    <x v="7"/>
    <x v="2"/>
    <n v="0"/>
    <n v="0"/>
  </r>
  <r>
    <s v="EMP014"/>
    <s v="Thomas Jones"/>
    <s v="OPS06"/>
    <d v="2021-08-13T00:00:00"/>
    <n v="109121"/>
    <n v="72"/>
    <x v="0"/>
    <x v="3"/>
    <x v="1"/>
    <x v="1"/>
    <n v="0.05"/>
    <n v="5456.05"/>
  </r>
  <r>
    <s v="EMP060"/>
    <s v="Amanda Brown"/>
    <s v="MKT04"/>
    <d v="2020-06-14T00:00:00"/>
    <n v="112791"/>
    <n v="87"/>
    <x v="0"/>
    <x v="1"/>
    <x v="4"/>
    <x v="3"/>
    <n v="0.08"/>
    <n v="9023.2800000000007"/>
  </r>
  <r>
    <s v="EMP135"/>
    <s v="Robert Martinez"/>
    <s v="IT02"/>
    <d v="2022-07-05T00:00:00"/>
    <n v="118008"/>
    <n v="71"/>
    <x v="0"/>
    <x v="0"/>
    <x v="3"/>
    <x v="1"/>
    <n v="0.05"/>
    <n v="5900.4000000000005"/>
  </r>
  <r>
    <s v="EMP004"/>
    <s v="Thomas Miller"/>
    <s v="IT02"/>
    <d v="2016-07-10T00:00:00"/>
    <n v="74370"/>
    <n v="82"/>
    <x v="0"/>
    <x v="0"/>
    <x v="7"/>
    <x v="1"/>
    <n v="0.05"/>
    <n v="3718.5"/>
  </r>
  <r>
    <s v="EMP018"/>
    <s v="David Rodriguez"/>
    <s v="IT02"/>
    <d v="2022-04-23T00:00:00"/>
    <n v="77819"/>
    <n v="79"/>
    <x v="0"/>
    <x v="0"/>
    <x v="1"/>
    <x v="1"/>
    <n v="0.05"/>
    <n v="3890.9500000000003"/>
  </r>
  <r>
    <s v="EMP039"/>
    <s v="Jane Miller"/>
    <s v="MKT04"/>
    <d v="2017-05-10T00:00:00"/>
    <n v="48748"/>
    <n v="83"/>
    <x v="0"/>
    <x v="1"/>
    <x v="7"/>
    <x v="1"/>
    <n v="0.05"/>
    <n v="2437.4"/>
  </r>
  <r>
    <s v="EMP073"/>
    <s v="James Rodriguez"/>
    <s v="OPS06"/>
    <d v="2020-05-20T00:00:00"/>
    <n v="101997"/>
    <n v="38"/>
    <x v="2"/>
    <x v="3"/>
    <x v="4"/>
    <x v="2"/>
    <n v="0"/>
    <n v="0"/>
  </r>
  <r>
    <s v="EMP138"/>
    <s v="Sarah Rodriguez"/>
    <s v="HR01"/>
    <d v="2023-04-20T00:00:00"/>
    <n v="115260"/>
    <n v="77"/>
    <x v="0"/>
    <x v="5"/>
    <x v="3"/>
    <x v="1"/>
    <n v="0.05"/>
    <n v="5763"/>
  </r>
  <r>
    <s v="EMP007"/>
    <s v="Sarah Wilson"/>
    <s v="SAL05"/>
    <d v="2021-10-31T00:00:00"/>
    <n v="83604"/>
    <n v="49"/>
    <x v="0"/>
    <x v="4"/>
    <x v="1"/>
    <x v="2"/>
    <n v="0"/>
    <n v="0"/>
  </r>
  <r>
    <s v="EMP144"/>
    <s v="Melissa Brown"/>
    <s v="IT02"/>
    <d v="2021-10-24T00:00:00"/>
    <n v="83604"/>
    <n v="69"/>
    <x v="1"/>
    <x v="0"/>
    <x v="1"/>
    <x v="0"/>
    <n v="0.02"/>
    <n v="1672.08"/>
  </r>
  <r>
    <s v="EMP101"/>
    <s v="Robert Williams"/>
    <s v="SAL05"/>
    <d v="2017-08-09T00:00:00"/>
    <n v="83604"/>
    <n v="76"/>
    <x v="0"/>
    <x v="4"/>
    <x v="0"/>
    <x v="1"/>
    <n v="0.05"/>
    <n v="4180.2"/>
  </r>
  <r>
    <s v="EMP003"/>
    <s v="Melissa Rodriguez"/>
    <s v="OPS06"/>
    <d v="2023-01-04T00:00:00"/>
    <n v="60623"/>
    <n v="78"/>
    <x v="0"/>
    <x v="3"/>
    <x v="3"/>
    <x v="1"/>
    <n v="0.05"/>
    <n v="3031.15"/>
  </r>
  <r>
    <s v="EMP121"/>
    <s v="James Johnson"/>
    <s v="HR01"/>
    <d v="2020-08-10T00:00:00"/>
    <n v="68092"/>
    <n v="93"/>
    <x v="0"/>
    <x v="5"/>
    <x v="6"/>
    <x v="3"/>
    <n v="0.08"/>
    <n v="5447.36"/>
  </r>
  <r>
    <s v="EMP064"/>
    <s v="Michael Wilson"/>
    <s v="MKT04"/>
    <d v="2022-04-02T00:00:00"/>
    <n v="88155"/>
    <n v="68"/>
    <x v="0"/>
    <x v="1"/>
    <x v="1"/>
    <x v="0"/>
    <n v="0.02"/>
    <n v="1763.1000000000001"/>
  </r>
  <r>
    <s v="EMP116"/>
    <s v="William Jones"/>
    <s v="MKT04"/>
    <d v="2018-03-24T00:00:00"/>
    <n v="107903"/>
    <n v="42"/>
    <x v="0"/>
    <x v="1"/>
    <x v="0"/>
    <x v="2"/>
    <n v="0"/>
    <n v="0"/>
  </r>
  <r>
    <s v="EMP055"/>
    <s v="William Williams"/>
    <s v="IT02"/>
    <d v="2018-07-24T00:00:00"/>
    <n v="62818"/>
    <n v="34"/>
    <x v="0"/>
    <x v="0"/>
    <x v="8"/>
    <x v="2"/>
    <n v="0"/>
    <n v="0"/>
  </r>
  <r>
    <s v="EMP108"/>
    <s v="David Williams"/>
    <s v="HR01"/>
    <d v="2018-07-20T00:00:00"/>
    <n v="85151"/>
    <n v="35"/>
    <x v="0"/>
    <x v="5"/>
    <x v="8"/>
    <x v="2"/>
    <n v="0"/>
    <n v="0"/>
  </r>
  <r>
    <s v="EMP051"/>
    <s v="Jane Davis"/>
    <s v="FIN03"/>
    <d v="2016-03-04T00:00:00"/>
    <n v="46390"/>
    <n v="95"/>
    <x v="0"/>
    <x v="2"/>
    <x v="2"/>
    <x v="4"/>
    <n v="0.12"/>
    <n v="5566.8"/>
  </r>
  <r>
    <s v="EMP059"/>
    <s v="John Martinez"/>
    <s v="HR01"/>
    <d v="2022-03-23T00:00:00"/>
    <n v="111920"/>
    <n v="90"/>
    <x v="1"/>
    <x v="5"/>
    <x v="1"/>
    <x v="3"/>
    <n v="0.08"/>
    <n v="8953.6"/>
  </r>
  <r>
    <s v="EMP049"/>
    <s v="David Anderson"/>
    <s v="HR01"/>
    <d v="2017-07-28T00:00:00"/>
    <n v="115618"/>
    <n v="42"/>
    <x v="0"/>
    <x v="5"/>
    <x v="0"/>
    <x v="2"/>
    <n v="0"/>
    <n v="0"/>
  </r>
  <r>
    <s v="EMP089"/>
    <s v="Sarah Smith"/>
    <s v="SAL05"/>
    <d v="2023-05-11T00:00:00"/>
    <n v="110618"/>
    <n v="88"/>
    <x v="2"/>
    <x v="4"/>
    <x v="3"/>
    <x v="3"/>
    <n v="0.08"/>
    <n v="8849.44"/>
  </r>
  <r>
    <s v="EMP022"/>
    <s v="Melissa Hernandez"/>
    <s v="OPS06"/>
    <d v="2022-03-19T00:00:00"/>
    <n v="108395"/>
    <n v="78"/>
    <x v="1"/>
    <x v="3"/>
    <x v="1"/>
    <x v="1"/>
    <n v="0.05"/>
    <n v="5419.75"/>
  </r>
  <r>
    <s v="EMP058"/>
    <s v="Melissa Johnson"/>
    <s v="FIN03"/>
    <d v="2017-12-22T00:00:00"/>
    <n v="88005"/>
    <n v="69"/>
    <x v="0"/>
    <x v="2"/>
    <x v="0"/>
    <x v="0"/>
    <n v="0.02"/>
    <n v="1760.1000000000001"/>
  </r>
  <r>
    <s v="EMP130"/>
    <s v="Jane Garcia"/>
    <s v="MKT04"/>
    <d v="2021-08-29T00:00:00"/>
    <n v="83007"/>
    <n v="82"/>
    <x v="0"/>
    <x v="1"/>
    <x v="1"/>
    <x v="1"/>
    <n v="0.05"/>
    <n v="4150.3500000000004"/>
  </r>
  <r>
    <s v="EMP038"/>
    <s v="David Davis"/>
    <s v="IT02"/>
    <d v="2018-09-17T00:00:00"/>
    <n v="61547"/>
    <n v="68"/>
    <x v="0"/>
    <x v="0"/>
    <x v="8"/>
    <x v="0"/>
    <n v="0.02"/>
    <n v="1230.94"/>
  </r>
  <r>
    <s v="EMP148"/>
    <s v="James Wilson"/>
    <s v="SAL05"/>
    <d v="2021-06-28T00:00:00"/>
    <n v="83604"/>
    <n v="52"/>
    <x v="0"/>
    <x v="4"/>
    <x v="6"/>
    <x v="0"/>
    <n v="0.02"/>
    <n v="1672.08"/>
  </r>
  <r>
    <s v="EMP002"/>
    <s v="Richard Johnson"/>
    <s v="OPS06"/>
    <d v="2017-10-03T00:00:00"/>
    <n v="50399"/>
    <n v="92"/>
    <x v="1"/>
    <x v="3"/>
    <x v="0"/>
    <x v="3"/>
    <n v="0.08"/>
    <n v="4031.92"/>
  </r>
  <r>
    <s v="EMP053"/>
    <s v="Richard Williams"/>
    <s v="FIN03"/>
    <d v="2015-10-22T00:00:00"/>
    <n v="83604"/>
    <n v="62"/>
    <x v="0"/>
    <x v="2"/>
    <x v="2"/>
    <x v="0"/>
    <n v="0.02"/>
    <n v="1672.08"/>
  </r>
  <r>
    <s v="EMP131"/>
    <s v="John Hernandez"/>
    <s v="OPS06"/>
    <d v="2018-06-06T00:00:00"/>
    <n v="52720"/>
    <n v="68"/>
    <x v="0"/>
    <x v="3"/>
    <x v="0"/>
    <x v="0"/>
    <n v="0.02"/>
    <n v="1054.4000000000001"/>
  </r>
  <r>
    <s v="EMP104"/>
    <s v="Sarah Gonzalez"/>
    <s v="OPS06"/>
    <d v="2017-07-16T00:00:00"/>
    <n v="65065"/>
    <n v="98"/>
    <x v="0"/>
    <x v="3"/>
    <x v="0"/>
    <x v="4"/>
    <n v="0.12"/>
    <n v="7807.7999999999993"/>
  </r>
  <r>
    <s v="EMP100"/>
    <s v="Melissa Hernandez"/>
    <s v="SAL05"/>
    <d v="2015-06-20T00:00:00"/>
    <n v="83604"/>
    <n v="94"/>
    <x v="2"/>
    <x v="4"/>
    <x v="9"/>
    <x v="3"/>
    <n v="0.08"/>
    <n v="6688.32"/>
  </r>
  <r>
    <s v="EMP117"/>
    <s v="Melissa Hernandez"/>
    <s v="OPS06"/>
    <d v="2019-05-24T00:00:00"/>
    <n v="108119"/>
    <n v="57"/>
    <x v="2"/>
    <x v="3"/>
    <x v="8"/>
    <x v="0"/>
    <n v="0.02"/>
    <n v="2162.38"/>
  </r>
  <r>
    <s v="EMP088"/>
    <s v="John Davis"/>
    <s v="IT02"/>
    <d v="2020-02-26T00:00:00"/>
    <n v="83604"/>
    <n v="96"/>
    <x v="0"/>
    <x v="0"/>
    <x v="4"/>
    <x v="4"/>
    <n v="0.12"/>
    <n v="10032.48"/>
  </r>
  <r>
    <s v="EMP075"/>
    <s v="Richard Davis"/>
    <s v="HR01"/>
    <d v="2023-03-06T00:00:00"/>
    <n v="106896"/>
    <n v="52"/>
    <x v="1"/>
    <x v="5"/>
    <x v="3"/>
    <x v="0"/>
    <n v="0.02"/>
    <n v="2137.92"/>
  </r>
  <r>
    <s v="EMP122"/>
    <s v="Jones"/>
    <s v="IT02"/>
    <d v="2019-01-12T00:00:00"/>
    <n v="112887"/>
    <n v="59"/>
    <x v="0"/>
    <x v="0"/>
    <x v="8"/>
    <x v="0"/>
    <n v="0.02"/>
    <n v="2257.7400000000002"/>
  </r>
  <r>
    <s v="EMP021"/>
    <s v="William Rodriguez"/>
    <s v="FIN03"/>
    <d v="2023-04-21T00:00:00"/>
    <n v="85457"/>
    <n v="79"/>
    <x v="0"/>
    <x v="2"/>
    <x v="3"/>
    <x v="1"/>
    <n v="0.05"/>
    <n v="4272.8500000000004"/>
  </r>
  <r>
    <s v="EMP072"/>
    <s v="Melissa Miller"/>
    <s v="SAL05"/>
    <d v="2016-05-29T00:00:00"/>
    <n v="62798"/>
    <n v="30"/>
    <x v="0"/>
    <x v="4"/>
    <x v="2"/>
    <x v="2"/>
    <n v="0"/>
    <n v="0"/>
  </r>
  <r>
    <s v="EMP107"/>
    <s v="Emily Martinez"/>
    <s v="OPS06"/>
    <d v="2022-05-30T00:00:00"/>
    <n v="47794"/>
    <n v="73"/>
    <x v="1"/>
    <x v="3"/>
    <x v="1"/>
    <x v="1"/>
    <n v="0.05"/>
    <n v="2389.7000000000003"/>
  </r>
  <r>
    <s v="EMP093"/>
    <s v="James Rodriguez"/>
    <s v="MKT04"/>
    <d v="2016-11-03T00:00:00"/>
    <n v="93094"/>
    <n v="74"/>
    <x v="0"/>
    <x v="1"/>
    <x v="7"/>
    <x v="1"/>
    <n v="0.05"/>
    <n v="4654.7"/>
  </r>
  <r>
    <s v="EMP103"/>
    <s v="Amanda Brown"/>
    <s v="IT02"/>
    <d v="2022-10-14T00:00:00"/>
    <n v="118634"/>
    <n v="91"/>
    <x v="0"/>
    <x v="0"/>
    <x v="3"/>
    <x v="3"/>
    <n v="0.08"/>
    <n v="9490.7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4C8E6-0812-4785-B0A7-97A2A5B7138C}"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Employment Status">
  <location ref="AG10:AH14" firstHeaderRow="1" firstDataRow="1" firstDataCol="1"/>
  <pivotFields count="12">
    <pivotField showAll="0"/>
    <pivotField showAll="0"/>
    <pivotField showAll="0"/>
    <pivotField numFmtId="14" showAll="0"/>
    <pivotField numFmtId="1" showAll="0"/>
    <pivotField dataField="1" showAll="0"/>
    <pivotField axis="axisRow" showAll="0">
      <items count="4">
        <item x="0"/>
        <item x="1"/>
        <item x="2"/>
        <item t="default"/>
      </items>
    </pivotField>
    <pivotField showAll="0">
      <items count="7">
        <item x="2"/>
        <item x="5"/>
        <item x="0"/>
        <item x="1"/>
        <item x="3"/>
        <item x="4"/>
        <item t="default"/>
      </items>
    </pivotField>
    <pivotField showAll="0">
      <items count="11">
        <item x="5"/>
        <item x="3"/>
        <item x="1"/>
        <item x="6"/>
        <item x="4"/>
        <item x="8"/>
        <item x="0"/>
        <item x="7"/>
        <item x="2"/>
        <item x="9"/>
        <item t="default"/>
      </items>
    </pivotField>
    <pivotField showAll="0">
      <items count="6">
        <item x="1"/>
        <item x="0"/>
        <item x="3"/>
        <item x="2"/>
        <item x="4"/>
        <item t="default"/>
      </items>
    </pivotField>
    <pivotField showAll="0"/>
    <pivotField numFmtId="164" showAll="0"/>
  </pivotFields>
  <rowFields count="1">
    <field x="6"/>
  </rowFields>
  <rowItems count="4">
    <i>
      <x/>
    </i>
    <i>
      <x v="1"/>
    </i>
    <i>
      <x v="2"/>
    </i>
    <i t="grand">
      <x/>
    </i>
  </rowItems>
  <colItems count="1">
    <i/>
  </colItems>
  <dataFields count="1">
    <dataField name="Average of Perf_Score" fld="5" subtotal="average" baseField="6" baseItem="0" numFmtId="2"/>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A9076B-E26D-4082-9905-E9893F2B6DA7}"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erformance Band">
  <location ref="AD9:AE15" firstHeaderRow="1" firstDataRow="1" firstDataCol="1"/>
  <pivotFields count="12">
    <pivotField showAll="0"/>
    <pivotField showAll="0"/>
    <pivotField showAll="0"/>
    <pivotField numFmtId="14" showAll="0"/>
    <pivotField numFmtId="1" showAll="0"/>
    <pivotField showAll="0"/>
    <pivotField showAll="0">
      <items count="4">
        <item x="0"/>
        <item x="1"/>
        <item x="2"/>
        <item t="default"/>
      </items>
    </pivotField>
    <pivotField showAll="0">
      <items count="7">
        <item x="2"/>
        <item x="5"/>
        <item x="0"/>
        <item x="1"/>
        <item x="3"/>
        <item x="4"/>
        <item t="default"/>
      </items>
    </pivotField>
    <pivotField showAll="0">
      <items count="11">
        <item x="5"/>
        <item x="3"/>
        <item x="1"/>
        <item x="6"/>
        <item x="4"/>
        <item x="8"/>
        <item x="0"/>
        <item x="7"/>
        <item x="2"/>
        <item x="9"/>
        <item t="default"/>
      </items>
    </pivotField>
    <pivotField axis="axisRow" showAll="0">
      <items count="6">
        <item x="1"/>
        <item x="0"/>
        <item x="3"/>
        <item x="2"/>
        <item x="4"/>
        <item t="default"/>
      </items>
    </pivotField>
    <pivotField showAll="0"/>
    <pivotField dataField="1" numFmtId="164" showAll="0"/>
  </pivotFields>
  <rowFields count="1">
    <field x="9"/>
  </rowFields>
  <rowItems count="6">
    <i>
      <x/>
    </i>
    <i>
      <x v="1"/>
    </i>
    <i>
      <x v="2"/>
    </i>
    <i>
      <x v="3"/>
    </i>
    <i>
      <x v="4"/>
    </i>
    <i t="grand">
      <x/>
    </i>
  </rowItems>
  <colItems count="1">
    <i/>
  </colItems>
  <dataFields count="1">
    <dataField name="Sum of Bonus Amount" fld="11" baseField="0" baseItem="0" numFmtId="164"/>
  </dataFields>
  <formats count="1">
    <format dxfId="4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6FA39A-0154-475E-9A15-641B263CE736}" name="PivotTable2" cacheId="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1" rowHeaderCaption="Department" colHeaderCaption="Attrition Rate %">
  <location ref="AG1:AJ9" firstHeaderRow="1" firstDataRow="2" firstDataCol="1"/>
  <pivotFields count="12">
    <pivotField dataField="1" showAll="0"/>
    <pivotField showAll="0"/>
    <pivotField showAll="0"/>
    <pivotField numFmtId="14" showAll="0"/>
    <pivotField numFmtId="1" showAll="0"/>
    <pivotField showAll="0"/>
    <pivotField axis="axisCol" showAll="0">
      <items count="4">
        <item x="0"/>
        <item x="1"/>
        <item x="2"/>
        <item t="default"/>
      </items>
    </pivotField>
    <pivotField axis="axisRow" showAll="0">
      <items count="7">
        <item x="2"/>
        <item x="5"/>
        <item x="0"/>
        <item x="1"/>
        <item x="3"/>
        <item x="4"/>
        <item t="default"/>
      </items>
    </pivotField>
    <pivotField showAll="0">
      <items count="11">
        <item x="5"/>
        <item x="3"/>
        <item x="1"/>
        <item x="6"/>
        <item x="4"/>
        <item x="8"/>
        <item x="0"/>
        <item x="7"/>
        <item x="2"/>
        <item x="9"/>
        <item t="default"/>
      </items>
    </pivotField>
    <pivotField showAll="0">
      <items count="6">
        <item x="1"/>
        <item x="0"/>
        <item x="3"/>
        <item x="2"/>
        <item x="4"/>
        <item t="default"/>
      </items>
    </pivotField>
    <pivotField showAll="0"/>
    <pivotField numFmtId="164" showAll="0"/>
  </pivotFields>
  <rowFields count="1">
    <field x="7"/>
  </rowFields>
  <rowItems count="7">
    <i>
      <x/>
    </i>
    <i>
      <x v="1"/>
    </i>
    <i>
      <x v="2"/>
    </i>
    <i>
      <x v="3"/>
    </i>
    <i>
      <x v="4"/>
    </i>
    <i>
      <x v="5"/>
    </i>
    <i t="grand">
      <x/>
    </i>
  </rowItems>
  <colFields count="1">
    <field x="6"/>
  </colFields>
  <colItems count="3">
    <i>
      <x/>
    </i>
    <i>
      <x v="1"/>
    </i>
    <i>
      <x v="2"/>
    </i>
  </colItems>
  <dataFields count="1">
    <dataField name="Head Count" fld="0" subtotal="count" showDataAs="percentOfRow" baseField="0" baseItem="0" numFmtId="10"/>
  </dataFields>
  <formats count="1">
    <format dxfId="48">
      <pivotArea collapsedLevelsAreSubtotals="1" fieldPosition="0">
        <references count="2">
          <reference field="6" count="2" selected="0">
            <x v="0"/>
            <x v="1"/>
          </reference>
          <reference field="7" count="0"/>
        </references>
      </pivotArea>
    </format>
  </format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23776C-386C-46BE-82FA-02B8A24C6F82}"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Department">
  <location ref="AD1:AF8" firstHeaderRow="0" firstDataRow="1" firstDataCol="1"/>
  <pivotFields count="12">
    <pivotField dataField="1" showAll="0"/>
    <pivotField showAll="0"/>
    <pivotField showAll="0"/>
    <pivotField numFmtId="14" showAll="0"/>
    <pivotField dataField="1" numFmtId="1" showAll="0"/>
    <pivotField showAll="0"/>
    <pivotField showAll="0">
      <items count="4">
        <item x="0"/>
        <item x="1"/>
        <item x="2"/>
        <item t="default"/>
      </items>
    </pivotField>
    <pivotField axis="axisRow" showAll="0">
      <items count="7">
        <item x="2"/>
        <item x="5"/>
        <item x="0"/>
        <item x="1"/>
        <item x="3"/>
        <item x="4"/>
        <item t="default"/>
      </items>
    </pivotField>
    <pivotField showAll="0">
      <items count="11">
        <item x="5"/>
        <item x="3"/>
        <item x="1"/>
        <item x="6"/>
        <item x="4"/>
        <item x="8"/>
        <item x="0"/>
        <item x="7"/>
        <item x="2"/>
        <item x="9"/>
        <item t="default"/>
      </items>
    </pivotField>
    <pivotField showAll="0">
      <items count="6">
        <item x="1"/>
        <item x="0"/>
        <item x="3"/>
        <item x="2"/>
        <item x="4"/>
        <item t="default"/>
      </items>
    </pivotField>
    <pivotField showAll="0"/>
    <pivotField numFmtId="164" showAll="0"/>
  </pivotFields>
  <rowFields count="1">
    <field x="7"/>
  </rowFields>
  <rowItems count="7">
    <i>
      <x/>
    </i>
    <i>
      <x v="1"/>
    </i>
    <i>
      <x v="2"/>
    </i>
    <i>
      <x v="3"/>
    </i>
    <i>
      <x v="4"/>
    </i>
    <i>
      <x v="5"/>
    </i>
    <i t="grand">
      <x/>
    </i>
  </rowItems>
  <colFields count="1">
    <field x="-2"/>
  </colFields>
  <colItems count="2">
    <i>
      <x/>
    </i>
    <i i="1">
      <x v="1"/>
    </i>
  </colItems>
  <dataFields count="2">
    <dataField name="Average of Salary" fld="4" subtotal="average" baseField="4" baseItem="0" numFmtId="164"/>
    <dataField name="Head Count" fld="0" subtotal="count" baseField="0" baseItem="0"/>
  </dataFields>
  <formats count="2">
    <format dxfId="49">
      <pivotArea collapsedLevelsAreSubtotals="1" fieldPosition="0">
        <references count="2">
          <reference field="4294967294" count="1" selected="0">
            <x v="0"/>
          </reference>
          <reference field="7" count="0"/>
        </references>
      </pivotArea>
    </format>
    <format dxfId="5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3914B-4EBB-494B-A301-1B10005C817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erformance Band">
  <location ref="E13:F19" firstHeaderRow="1" firstDataRow="1" firstDataCol="1"/>
  <pivotFields count="12">
    <pivotField showAll="0"/>
    <pivotField showAll="0"/>
    <pivotField showAll="0"/>
    <pivotField numFmtId="14" showAll="0"/>
    <pivotField numFmtId="1" showAll="0"/>
    <pivotField showAll="0"/>
    <pivotField showAll="0">
      <items count="4">
        <item x="0"/>
        <item x="1"/>
        <item x="2"/>
        <item t="default"/>
      </items>
    </pivotField>
    <pivotField showAll="0">
      <items count="7">
        <item x="2"/>
        <item x="5"/>
        <item x="0"/>
        <item x="1"/>
        <item x="3"/>
        <item x="4"/>
        <item t="default"/>
      </items>
    </pivotField>
    <pivotField showAll="0">
      <items count="11">
        <item x="5"/>
        <item x="3"/>
        <item x="1"/>
        <item x="6"/>
        <item x="4"/>
        <item x="8"/>
        <item x="0"/>
        <item x="7"/>
        <item x="2"/>
        <item x="9"/>
        <item t="default"/>
      </items>
    </pivotField>
    <pivotField axis="axisRow" showAll="0">
      <items count="6">
        <item x="1"/>
        <item x="0"/>
        <item x="3"/>
        <item x="2"/>
        <item x="4"/>
        <item t="default"/>
      </items>
    </pivotField>
    <pivotField showAll="0"/>
    <pivotField dataField="1" numFmtId="164" showAll="0"/>
  </pivotFields>
  <rowFields count="1">
    <field x="9"/>
  </rowFields>
  <rowItems count="6">
    <i>
      <x/>
    </i>
    <i>
      <x v="1"/>
    </i>
    <i>
      <x v="2"/>
    </i>
    <i>
      <x v="3"/>
    </i>
    <i>
      <x v="4"/>
    </i>
    <i t="grand">
      <x/>
    </i>
  </rowItems>
  <colItems count="1">
    <i/>
  </colItems>
  <dataFields count="1">
    <dataField name="Sum of Bonus Amount" fld="11" baseField="0" baseItem="0" numFmtId="16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68CEB1-7AD5-4DDD-B6D8-E6ED01AA7201}"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Employment Status">
  <location ref="A13:B17" firstHeaderRow="1" firstDataRow="1" firstDataCol="1"/>
  <pivotFields count="12">
    <pivotField showAll="0"/>
    <pivotField showAll="0"/>
    <pivotField showAll="0"/>
    <pivotField numFmtId="14" showAll="0"/>
    <pivotField numFmtId="1" showAll="0"/>
    <pivotField dataField="1" showAll="0"/>
    <pivotField axis="axisRow" showAll="0">
      <items count="4">
        <item x="0"/>
        <item x="1"/>
        <item x="2"/>
        <item t="default"/>
      </items>
    </pivotField>
    <pivotField showAll="0">
      <items count="7">
        <item x="2"/>
        <item x="5"/>
        <item x="0"/>
        <item x="1"/>
        <item x="3"/>
        <item x="4"/>
        <item t="default"/>
      </items>
    </pivotField>
    <pivotField showAll="0">
      <items count="11">
        <item x="5"/>
        <item x="3"/>
        <item x="1"/>
        <item x="6"/>
        <item x="4"/>
        <item x="8"/>
        <item x="0"/>
        <item x="7"/>
        <item x="2"/>
        <item x="9"/>
        <item t="default"/>
      </items>
    </pivotField>
    <pivotField showAll="0">
      <items count="6">
        <item x="1"/>
        <item x="0"/>
        <item x="3"/>
        <item x="2"/>
        <item x="4"/>
        <item t="default"/>
      </items>
    </pivotField>
    <pivotField showAll="0"/>
    <pivotField numFmtId="164" showAll="0"/>
  </pivotFields>
  <rowFields count="1">
    <field x="6"/>
  </rowFields>
  <rowItems count="4">
    <i>
      <x/>
    </i>
    <i>
      <x v="1"/>
    </i>
    <i>
      <x v="2"/>
    </i>
    <i t="grand">
      <x/>
    </i>
  </rowItems>
  <colItems count="1">
    <i/>
  </colItems>
  <dataFields count="1">
    <dataField name="Average of Perf_Score" fld="5" subtotal="average" baseField="6" baseItem="0" numFmtId="2"/>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510DD3-B1F5-49CE-8D28-9FE3182D0EEB}" name="PivotTable2" cacheId="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rowHeaderCaption="Department" colHeaderCaption="Attrition Rate %">
  <location ref="E3:H11" firstHeaderRow="1" firstDataRow="2" firstDataCol="1"/>
  <pivotFields count="12">
    <pivotField dataField="1" showAll="0"/>
    <pivotField showAll="0"/>
    <pivotField showAll="0"/>
    <pivotField numFmtId="14" showAll="0"/>
    <pivotField numFmtId="1" showAll="0"/>
    <pivotField showAll="0"/>
    <pivotField axis="axisCol" showAll="0">
      <items count="4">
        <item x="0"/>
        <item x="1"/>
        <item x="2"/>
        <item t="default"/>
      </items>
    </pivotField>
    <pivotField axis="axisRow" showAll="0">
      <items count="7">
        <item x="2"/>
        <item x="5"/>
        <item x="0"/>
        <item x="1"/>
        <item x="3"/>
        <item x="4"/>
        <item t="default"/>
      </items>
    </pivotField>
    <pivotField showAll="0">
      <items count="11">
        <item x="5"/>
        <item x="3"/>
        <item x="1"/>
        <item x="6"/>
        <item x="4"/>
        <item x="8"/>
        <item x="0"/>
        <item x="7"/>
        <item x="2"/>
        <item x="9"/>
        <item t="default"/>
      </items>
    </pivotField>
    <pivotField showAll="0">
      <items count="6">
        <item x="1"/>
        <item x="0"/>
        <item x="3"/>
        <item x="2"/>
        <item x="4"/>
        <item t="default"/>
      </items>
    </pivotField>
    <pivotField showAll="0"/>
    <pivotField numFmtId="164" showAll="0"/>
  </pivotFields>
  <rowFields count="1">
    <field x="7"/>
  </rowFields>
  <rowItems count="7">
    <i>
      <x/>
    </i>
    <i>
      <x v="1"/>
    </i>
    <i>
      <x v="2"/>
    </i>
    <i>
      <x v="3"/>
    </i>
    <i>
      <x v="4"/>
    </i>
    <i>
      <x v="5"/>
    </i>
    <i t="grand">
      <x/>
    </i>
  </rowItems>
  <colFields count="1">
    <field x="6"/>
  </colFields>
  <colItems count="3">
    <i>
      <x/>
    </i>
    <i>
      <x v="1"/>
    </i>
    <i>
      <x v="2"/>
    </i>
  </colItems>
  <dataFields count="1">
    <dataField name="Head Count" fld="0" subtotal="count" showDataAs="percentOfRow" baseField="0" baseItem="0" numFmtId="10"/>
  </dataFields>
  <formats count="1">
    <format dxfId="53">
      <pivotArea collapsedLevelsAreSubtotals="1" fieldPosition="0">
        <references count="2">
          <reference field="6" count="2" selected="0">
            <x v="0"/>
            <x v="1"/>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9C28CA-C4A7-4481-AB76-051965D4DEF6}"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location ref="A3:C10" firstHeaderRow="0" firstDataRow="1" firstDataCol="1"/>
  <pivotFields count="12">
    <pivotField dataField="1" showAll="0"/>
    <pivotField showAll="0"/>
    <pivotField showAll="0"/>
    <pivotField numFmtId="14" showAll="0"/>
    <pivotField dataField="1" numFmtId="1" showAll="0"/>
    <pivotField showAll="0"/>
    <pivotField showAll="0">
      <items count="4">
        <item x="0"/>
        <item x="1"/>
        <item x="2"/>
        <item t="default"/>
      </items>
    </pivotField>
    <pivotField axis="axisRow" showAll="0">
      <items count="7">
        <item x="2"/>
        <item x="5"/>
        <item x="0"/>
        <item x="1"/>
        <item x="3"/>
        <item x="4"/>
        <item t="default"/>
      </items>
    </pivotField>
    <pivotField showAll="0">
      <items count="11">
        <item x="5"/>
        <item x="3"/>
        <item x="1"/>
        <item x="6"/>
        <item x="4"/>
        <item x="8"/>
        <item x="0"/>
        <item x="7"/>
        <item x="2"/>
        <item x="9"/>
        <item t="default"/>
      </items>
    </pivotField>
    <pivotField showAll="0">
      <items count="6">
        <item x="1"/>
        <item x="0"/>
        <item x="3"/>
        <item x="2"/>
        <item x="4"/>
        <item t="default"/>
      </items>
    </pivotField>
    <pivotField showAll="0"/>
    <pivotField numFmtId="164" showAll="0"/>
  </pivotFields>
  <rowFields count="1">
    <field x="7"/>
  </rowFields>
  <rowItems count="7">
    <i>
      <x/>
    </i>
    <i>
      <x v="1"/>
    </i>
    <i>
      <x v="2"/>
    </i>
    <i>
      <x v="3"/>
    </i>
    <i>
      <x v="4"/>
    </i>
    <i>
      <x v="5"/>
    </i>
    <i t="grand">
      <x/>
    </i>
  </rowItems>
  <colFields count="1">
    <field x="-2"/>
  </colFields>
  <colItems count="2">
    <i>
      <x/>
    </i>
    <i i="1">
      <x v="1"/>
    </i>
  </colItems>
  <dataFields count="2">
    <dataField name="Average of Salary" fld="4" subtotal="average" baseField="4" baseItem="0" numFmtId="164"/>
    <dataField name="Head Count" fld="0" subtotal="count" baseField="0" baseItem="0"/>
  </dataFields>
  <formats count="2">
    <format dxfId="55">
      <pivotArea collapsedLevelsAreSubtotals="1" fieldPosition="0">
        <references count="2">
          <reference field="4294967294" count="1" selected="0">
            <x v="0"/>
          </reference>
          <reference field="7" count="0"/>
        </references>
      </pivotArea>
    </format>
    <format dxfId="5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45C3956C-A161-4E92-BDE5-13C8B90BCDF7}" sourceName="Employment Status">
  <pivotTables>
    <pivotTable tabId="5" name="PivotTable1"/>
    <pivotTable tabId="4" name="PivotTable1"/>
    <pivotTable tabId="4" name="PivotTable2"/>
    <pivotTable tabId="4" name="PivotTable3"/>
    <pivotTable tabId="4" name="PivotTable4"/>
    <pivotTable tabId="5" name="PivotTable2"/>
    <pivotTable tabId="5" name="PivotTable3"/>
    <pivotTable tabId="5" name="PivotTable4"/>
  </pivotTables>
  <data>
    <tabular pivotCacheId="122869785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05FC8203-5FB5-4899-ABC8-584009252326}" sourceName="Department Name">
  <pivotTables>
    <pivotTable tabId="5" name="PivotTable1"/>
    <pivotTable tabId="4" name="PivotTable1"/>
    <pivotTable tabId="4" name="PivotTable2"/>
    <pivotTable tabId="4" name="PivotTable3"/>
    <pivotTable tabId="4" name="PivotTable4"/>
    <pivotTable tabId="5" name="PivotTable2"/>
    <pivotTable tabId="5" name="PivotTable3"/>
    <pivotTable tabId="5" name="PivotTable4"/>
  </pivotTables>
  <data>
    <tabular pivotCacheId="1228697856">
      <items count="6">
        <i x="2" s="1"/>
        <i x="5"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Service" xr10:uid="{0B4C73AE-4CB0-497D-B9FF-269CB00BDC1C}" sourceName="Year of Service">
  <pivotTables>
    <pivotTable tabId="5" name="PivotTable1"/>
    <pivotTable tabId="4" name="PivotTable1"/>
    <pivotTable tabId="4" name="PivotTable2"/>
    <pivotTable tabId="4" name="PivotTable3"/>
    <pivotTable tabId="4" name="PivotTable4"/>
    <pivotTable tabId="5" name="PivotTable2"/>
    <pivotTable tabId="5" name="PivotTable3"/>
    <pivotTable tabId="5" name="PivotTable4"/>
  </pivotTables>
  <data>
    <tabular pivotCacheId="1228697856">
      <items count="10">
        <i x="5" s="1"/>
        <i x="3" s="1"/>
        <i x="1" s="1"/>
        <i x="6" s="1"/>
        <i x="4" s="1"/>
        <i x="8" s="1"/>
        <i x="0" s="1"/>
        <i x="7" s="1"/>
        <i x="2"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6B9A4C0F-6FFB-47D2-BDFA-E456F5CF3827}" sourceName="Performance Band">
  <pivotTables>
    <pivotTable tabId="5" name="PivotTable1"/>
    <pivotTable tabId="4" name="PivotTable1"/>
    <pivotTable tabId="4" name="PivotTable2"/>
    <pivotTable tabId="4" name="PivotTable3"/>
    <pivotTable tabId="4" name="PivotTable4"/>
    <pivotTable tabId="5" name="PivotTable2"/>
    <pivotTable tabId="5" name="PivotTable3"/>
    <pivotTable tabId="5" name="PivotTable4"/>
  </pivotTables>
  <data>
    <tabular pivotCacheId="1228697856">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Status" xr10:uid="{708FEBA7-591F-4480-8A9F-9737D170C49F}" cache="Slicer_Employment_Status" caption="Employment Status" rowHeight="241300"/>
  <slicer name="Department Name" xr10:uid="{B94546DE-18EC-4BD1-A9F3-C83AA24D42FB}" cache="Slicer_Department_Name" caption="Department Name" rowHeight="241300"/>
  <slicer name="Year of Service" xr10:uid="{CDA8AA1B-ED0D-4B5C-ADAC-DE36D7C126DE}" cache="Slicer_Year_of_Service" caption="Year of Service" rowHeight="241300"/>
  <slicer name="Performance Band" xr10:uid="{9ED0A2F7-AF0D-4DC0-8664-B4E443804F8D}" cache="Slicer_Performance_Band" caption="Performance B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8193BA-196C-439D-AA62-9976B44CFFE3}" name="Table2" displayName="Table2" ref="A1:L151" totalsRowShown="0" headerRowDxfId="66" headerRowBorderDxfId="65" tableBorderDxfId="64">
  <autoFilter ref="A1:L151" xr:uid="{158193BA-196C-439D-AA62-9976B44CFFE3}"/>
  <tableColumns count="12">
    <tableColumn id="1" xr3:uid="{E7CEF601-B9D9-4C10-8BB7-F2A6279F75E3}" name="Emp ID"/>
    <tableColumn id="16" xr3:uid="{0F5A30AD-B40C-4915-86B2-BA0CED71CF4F}" name="Full Name"/>
    <tableColumn id="4" xr3:uid="{C62BB1F4-583F-4870-A67C-1934D1727C95}" name="Dept Code" dataDxfId="63"/>
    <tableColumn id="5" xr3:uid="{3A20BC1C-3001-4056-BA0F-330F26F91F80}" name="Hire Date" dataDxfId="62"/>
    <tableColumn id="6" xr3:uid="{20FCFCDD-4554-4342-8231-16E10EA6BA83}" name="Salary" dataDxfId="61" dataCellStyle="Currency"/>
    <tableColumn id="7" xr3:uid="{495C5E02-647D-41F1-9B9A-503EAC698781}" name="Perf_Score"/>
    <tableColumn id="8" xr3:uid="{DE7F5A62-34CE-4B3A-AFC1-1975B724560B}" name="Employment Status"/>
    <tableColumn id="10" xr3:uid="{47587FB1-4766-44EA-A1B1-CE0D6562B4D7}" name="Department Name" dataDxfId="60">
      <calculatedColumnFormula>_xlfn.XLOOKUP(C2,Lookup_Departments!A:A,Lookup_Departments!B:B,"Code not Found")</calculatedColumnFormula>
    </tableColumn>
    <tableColumn id="11" xr3:uid="{5F42E426-9FBF-4EC2-8860-0225A135D706}" name="Year of Service" dataDxfId="59">
      <calculatedColumnFormula>DATEDIF(D2,TODAY(),"Y")</calculatedColumnFormula>
    </tableColumn>
    <tableColumn id="12" xr3:uid="{B6F7ADCF-8B68-45BF-B6F8-E0077C895429}" name="Performance Band" dataDxfId="58">
      <calculatedColumnFormula>_xlfn.XLOOKUP(F2,Lookup_Performance!A:A,Lookup_Performance!C:C, "No Band",-1)</calculatedColumnFormula>
    </tableColumn>
    <tableColumn id="13" xr3:uid="{2871210D-FFD0-4DB4-88B4-831BFFAA4B80}" name="Bonus Percentage" dataDxfId="57">
      <calculatedColumnFormula>_xlfn.XLOOKUP(F2,Lookup_Performance!A:A,Lookup_Performance!D:D,0,-1)</calculatedColumnFormula>
    </tableColumn>
    <tableColumn id="17" xr3:uid="{645175C1-1AB6-4A64-B047-0E5FEC2EB148}" name="Bonus Amount" dataDxfId="56">
      <calculatedColumnFormula>E2*K2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
  <sheetViews>
    <sheetView topLeftCell="A135" zoomScale="91" zoomScaleNormal="91" workbookViewId="0">
      <selection activeCell="K13" sqref="K13"/>
    </sheetView>
  </sheetViews>
  <sheetFormatPr defaultRowHeight="15" x14ac:dyDescent="0.25"/>
  <cols>
    <col min="1" max="1" width="12.140625" bestFit="1" customWidth="1"/>
    <col min="2" max="2" width="21.7109375" customWidth="1"/>
    <col min="3" max="3" width="15.140625" customWidth="1"/>
    <col min="4" max="4" width="16.5703125" style="2" customWidth="1"/>
    <col min="5" max="5" width="12.28515625" style="14" customWidth="1"/>
    <col min="6" max="6" width="15.42578125" bestFit="1" customWidth="1"/>
    <col min="7" max="7" width="23" customWidth="1"/>
    <col min="8" max="8" width="22.5703125" bestFit="1" customWidth="1"/>
    <col min="9" max="9" width="18.85546875" bestFit="1" customWidth="1"/>
    <col min="10" max="10" width="22.140625" bestFit="1" customWidth="1"/>
    <col min="11" max="11" width="21.7109375" style="9" bestFit="1" customWidth="1"/>
    <col min="12" max="12" width="16.42578125" style="8" bestFit="1" customWidth="1"/>
  </cols>
  <sheetData>
    <row r="1" spans="1:15" s="4" customFormat="1" x14ac:dyDescent="0.25">
      <c r="A1" s="3" t="s">
        <v>0</v>
      </c>
      <c r="B1" s="6" t="s">
        <v>291</v>
      </c>
      <c r="C1" s="3" t="s">
        <v>1</v>
      </c>
      <c r="D1" s="5" t="s">
        <v>2</v>
      </c>
      <c r="E1" s="13" t="s">
        <v>3</v>
      </c>
      <c r="F1" s="3" t="s">
        <v>4</v>
      </c>
      <c r="G1" s="6" t="s">
        <v>5</v>
      </c>
      <c r="H1" s="6" t="s">
        <v>292</v>
      </c>
      <c r="I1" s="6" t="s">
        <v>293</v>
      </c>
      <c r="J1" s="6" t="s">
        <v>294</v>
      </c>
      <c r="K1" s="15" t="s">
        <v>295</v>
      </c>
      <c r="L1" s="12" t="s">
        <v>302</v>
      </c>
    </row>
    <row r="2" spans="1:15" x14ac:dyDescent="0.25">
      <c r="A2" t="s">
        <v>6</v>
      </c>
      <c r="B2" t="s">
        <v>187</v>
      </c>
      <c r="C2" t="s">
        <v>8</v>
      </c>
      <c r="D2" s="2">
        <v>43093</v>
      </c>
      <c r="E2" s="14">
        <v>50361</v>
      </c>
      <c r="F2">
        <v>52</v>
      </c>
      <c r="G2" t="s">
        <v>25</v>
      </c>
      <c r="H2" t="str">
        <f>_xlfn.XLOOKUP(C2,Lookup_Departments!A:A,Lookup_Departments!B:B,"Code not Found")</f>
        <v>Information Technology</v>
      </c>
      <c r="I2">
        <f t="shared" ref="I2:I33" ca="1" si="0">DATEDIF(D2,TODAY(),"Y")</f>
        <v>8</v>
      </c>
      <c r="J2" t="str">
        <f>_xlfn.XLOOKUP(F2,Lookup_Performance!A:A,Lookup_Performance!C:C, "No Band",-1)</f>
        <v>Developing</v>
      </c>
      <c r="K2" s="9">
        <f>_xlfn.XLOOKUP(F2,Lookup_Performance!A:A,Lookup_Performance!D:D,0,-1)</f>
        <v>0.02</v>
      </c>
      <c r="L2" s="8">
        <f t="shared" ref="L2:L33" si="1">E2*K2</f>
        <v>1007.22</v>
      </c>
    </row>
    <row r="3" spans="1:15" x14ac:dyDescent="0.25">
      <c r="A3" t="s">
        <v>9</v>
      </c>
      <c r="B3" t="s">
        <v>188</v>
      </c>
      <c r="C3" t="s">
        <v>10</v>
      </c>
      <c r="D3" s="2">
        <v>44659</v>
      </c>
      <c r="E3" s="14">
        <v>112673</v>
      </c>
      <c r="F3">
        <v>68</v>
      </c>
      <c r="G3" t="s">
        <v>25</v>
      </c>
      <c r="H3" t="str">
        <f>_xlfn.XLOOKUP(C3,Lookup_Departments!A:A,Lookup_Departments!B:B,"Code not Found")</f>
        <v>Marketing</v>
      </c>
      <c r="I3">
        <f t="shared" ca="1" si="0"/>
        <v>4</v>
      </c>
      <c r="J3" t="str">
        <f>_xlfn.XLOOKUP(F3,Lookup_Performance!A:A,Lookup_Performance!C:C, "No Band",-1)</f>
        <v>Developing</v>
      </c>
      <c r="K3" s="9">
        <f>_xlfn.XLOOKUP(F3,Lookup_Performance!A:A,Lookup_Performance!D:D,0,-1)</f>
        <v>0.02</v>
      </c>
      <c r="L3" s="8">
        <f t="shared" si="1"/>
        <v>2253.46</v>
      </c>
    </row>
    <row r="4" spans="1:15" x14ac:dyDescent="0.25">
      <c r="A4" t="s">
        <v>11</v>
      </c>
      <c r="B4" t="s">
        <v>189</v>
      </c>
      <c r="C4" t="s">
        <v>8</v>
      </c>
      <c r="D4" s="2">
        <v>42431</v>
      </c>
      <c r="E4" s="14">
        <v>114425</v>
      </c>
      <c r="F4">
        <v>54</v>
      </c>
      <c r="G4" t="s">
        <v>16</v>
      </c>
      <c r="H4" t="str">
        <f>_xlfn.XLOOKUP(C4,Lookup_Departments!A:A,Lookup_Departments!B:B,"Code not Found")</f>
        <v>Information Technology</v>
      </c>
      <c r="I4">
        <f t="shared" ca="1" si="0"/>
        <v>10</v>
      </c>
      <c r="J4" t="str">
        <f>_xlfn.XLOOKUP(F4,Lookup_Performance!A:A,Lookup_Performance!C:C, "No Band",-1)</f>
        <v>Developing</v>
      </c>
      <c r="K4" s="9">
        <f>_xlfn.XLOOKUP(F4,Lookup_Performance!A:A,Lookup_Performance!D:D,0,-1)</f>
        <v>0.02</v>
      </c>
      <c r="L4" s="8">
        <f t="shared" si="1"/>
        <v>2288.5</v>
      </c>
    </row>
    <row r="5" spans="1:15" x14ac:dyDescent="0.25">
      <c r="A5" t="s">
        <v>12</v>
      </c>
      <c r="B5" t="s">
        <v>190</v>
      </c>
      <c r="C5" t="s">
        <v>13</v>
      </c>
      <c r="D5" s="2">
        <v>45110</v>
      </c>
      <c r="E5" s="14">
        <v>103831</v>
      </c>
      <c r="F5">
        <v>70</v>
      </c>
      <c r="G5" t="s">
        <v>25</v>
      </c>
      <c r="H5" t="str">
        <f>_xlfn.XLOOKUP(C5,Lookup_Departments!A:A,Lookup_Departments!B:B,"Code not Found")</f>
        <v>Finance</v>
      </c>
      <c r="I5">
        <f t="shared" ca="1" si="0"/>
        <v>3</v>
      </c>
      <c r="J5" t="str">
        <f>_xlfn.XLOOKUP(F5,Lookup_Performance!A:A,Lookup_Performance!C:C, "No Band",-1)</f>
        <v>Achieving</v>
      </c>
      <c r="K5" s="9">
        <f>_xlfn.XLOOKUP(F5,Lookup_Performance!A:A,Lookup_Performance!D:D,0,-1)</f>
        <v>0.05</v>
      </c>
      <c r="L5" s="8">
        <f t="shared" si="1"/>
        <v>5191.55</v>
      </c>
      <c r="O5">
        <f>MAX(F:F)</f>
        <v>99</v>
      </c>
    </row>
    <row r="6" spans="1:15" x14ac:dyDescent="0.25">
      <c r="A6" t="s">
        <v>14</v>
      </c>
      <c r="B6" t="s">
        <v>191</v>
      </c>
      <c r="C6" t="s">
        <v>8</v>
      </c>
      <c r="D6" s="2">
        <v>44977</v>
      </c>
      <c r="E6" s="14">
        <v>73785</v>
      </c>
      <c r="F6">
        <v>40</v>
      </c>
      <c r="G6" t="s">
        <v>16</v>
      </c>
      <c r="H6" t="str">
        <f>_xlfn.XLOOKUP(C6,Lookup_Departments!A:A,Lookup_Departments!B:B,"Code not Found")</f>
        <v>Information Technology</v>
      </c>
      <c r="I6">
        <f t="shared" ca="1" si="0"/>
        <v>3</v>
      </c>
      <c r="J6" t="str">
        <f>_xlfn.XLOOKUP(F6,Lookup_Performance!A:A,Lookup_Performance!C:C, "No Band",-1)</f>
        <v>Needs Improvement</v>
      </c>
      <c r="K6" s="9">
        <f>_xlfn.XLOOKUP(F6,Lookup_Performance!A:A,Lookup_Performance!D:D,0,-1)</f>
        <v>0</v>
      </c>
      <c r="L6" s="8">
        <f t="shared" si="1"/>
        <v>0</v>
      </c>
    </row>
    <row r="7" spans="1:15" x14ac:dyDescent="0.25">
      <c r="A7" t="s">
        <v>17</v>
      </c>
      <c r="B7" t="s">
        <v>192</v>
      </c>
      <c r="C7" t="s">
        <v>18</v>
      </c>
      <c r="D7" s="2">
        <v>43892</v>
      </c>
      <c r="E7" s="14">
        <v>115882</v>
      </c>
      <c r="F7">
        <v>49</v>
      </c>
      <c r="G7" t="s">
        <v>25</v>
      </c>
      <c r="H7" t="str">
        <f>_xlfn.XLOOKUP(C7,Lookup_Departments!A:A,Lookup_Departments!B:B,"Code not Found")</f>
        <v>Operations</v>
      </c>
      <c r="I7">
        <f t="shared" ca="1" si="0"/>
        <v>6</v>
      </c>
      <c r="J7" t="str">
        <f>_xlfn.XLOOKUP(F7,Lookup_Performance!A:A,Lookup_Performance!C:C, "No Band",-1)</f>
        <v>Needs Improvement</v>
      </c>
      <c r="K7" s="9">
        <f>_xlfn.XLOOKUP(F7,Lookup_Performance!A:A,Lookup_Performance!D:D,0,-1)</f>
        <v>0</v>
      </c>
      <c r="L7" s="8">
        <f t="shared" si="1"/>
        <v>0</v>
      </c>
    </row>
    <row r="8" spans="1:15" x14ac:dyDescent="0.25">
      <c r="A8" t="s">
        <v>19</v>
      </c>
      <c r="B8" t="s">
        <v>193</v>
      </c>
      <c r="C8" t="s">
        <v>18</v>
      </c>
      <c r="D8" s="2">
        <v>45272</v>
      </c>
      <c r="E8" s="14">
        <v>59980</v>
      </c>
      <c r="F8">
        <v>70</v>
      </c>
      <c r="G8" t="s">
        <v>16</v>
      </c>
      <c r="H8" t="str">
        <f>_xlfn.XLOOKUP(C8,Lookup_Departments!A:A,Lookup_Departments!B:B,"Code not Found")</f>
        <v>Operations</v>
      </c>
      <c r="I8">
        <f t="shared" ca="1" si="0"/>
        <v>2</v>
      </c>
      <c r="J8" t="str">
        <f>_xlfn.XLOOKUP(F8,Lookup_Performance!A:A,Lookup_Performance!C:C, "No Band",-1)</f>
        <v>Achieving</v>
      </c>
      <c r="K8" s="9">
        <f>_xlfn.XLOOKUP(F8,Lookup_Performance!A:A,Lookup_Performance!D:D,0,-1)</f>
        <v>0.05</v>
      </c>
      <c r="L8" s="8">
        <f t="shared" si="1"/>
        <v>2999</v>
      </c>
    </row>
    <row r="9" spans="1:15" x14ac:dyDescent="0.25">
      <c r="A9" t="s">
        <v>20</v>
      </c>
      <c r="B9" t="s">
        <v>194</v>
      </c>
      <c r="C9" t="s">
        <v>18</v>
      </c>
      <c r="D9" s="2">
        <v>44174</v>
      </c>
      <c r="E9" s="14">
        <v>68728</v>
      </c>
      <c r="F9">
        <v>45</v>
      </c>
      <c r="G9" t="s">
        <v>25</v>
      </c>
      <c r="H9" t="str">
        <f>_xlfn.XLOOKUP(C9,Lookup_Departments!A:A,Lookup_Departments!B:B,"Code not Found")</f>
        <v>Operations</v>
      </c>
      <c r="I9">
        <f t="shared" ca="1" si="0"/>
        <v>5</v>
      </c>
      <c r="J9" t="str">
        <f>_xlfn.XLOOKUP(F9,Lookup_Performance!A:A,Lookup_Performance!C:C, "No Band",-1)</f>
        <v>Needs Improvement</v>
      </c>
      <c r="K9" s="9">
        <f>_xlfn.XLOOKUP(F9,Lookup_Performance!A:A,Lookup_Performance!D:D,0,-1)</f>
        <v>0</v>
      </c>
      <c r="L9" s="8">
        <f t="shared" si="1"/>
        <v>0</v>
      </c>
    </row>
    <row r="10" spans="1:15" x14ac:dyDescent="0.25">
      <c r="A10" t="s">
        <v>21</v>
      </c>
      <c r="B10" t="s">
        <v>22</v>
      </c>
      <c r="C10" t="s">
        <v>13</v>
      </c>
      <c r="D10" s="2">
        <v>43107</v>
      </c>
      <c r="E10" s="14">
        <v>102139</v>
      </c>
      <c r="F10">
        <v>79</v>
      </c>
      <c r="G10" t="s">
        <v>25</v>
      </c>
      <c r="H10" t="str">
        <f>_xlfn.XLOOKUP(C10,Lookup_Departments!A:A,Lookup_Departments!B:B,"Code not Found")</f>
        <v>Finance</v>
      </c>
      <c r="I10">
        <f t="shared" ca="1" si="0"/>
        <v>8</v>
      </c>
      <c r="J10" t="str">
        <f>_xlfn.XLOOKUP(F10,Lookup_Performance!A:A,Lookup_Performance!C:C, "No Band",-1)</f>
        <v>Achieving</v>
      </c>
      <c r="K10" s="9">
        <f>_xlfn.XLOOKUP(F10,Lookup_Performance!A:A,Lookup_Performance!D:D,0,-1)</f>
        <v>0.05</v>
      </c>
      <c r="L10" s="8">
        <f t="shared" si="1"/>
        <v>5106.9500000000007</v>
      </c>
    </row>
    <row r="11" spans="1:15" x14ac:dyDescent="0.25">
      <c r="A11" t="s">
        <v>23</v>
      </c>
      <c r="B11" t="s">
        <v>195</v>
      </c>
      <c r="C11" t="s">
        <v>24</v>
      </c>
      <c r="D11" s="2">
        <v>42676</v>
      </c>
      <c r="E11" s="14">
        <v>94998</v>
      </c>
      <c r="F11">
        <v>58</v>
      </c>
      <c r="G11" t="s">
        <v>25</v>
      </c>
      <c r="H11" t="str">
        <f>_xlfn.XLOOKUP(C11,Lookup_Departments!A:A,Lookup_Departments!B:B,"Code not Found")</f>
        <v>Sales</v>
      </c>
      <c r="I11">
        <f t="shared" ca="1" si="0"/>
        <v>9</v>
      </c>
      <c r="J11" t="str">
        <f>_xlfn.XLOOKUP(F11,Lookup_Performance!A:A,Lookup_Performance!C:C, "No Band",-1)</f>
        <v>Developing</v>
      </c>
      <c r="K11" s="9">
        <f>_xlfn.XLOOKUP(F11,Lookup_Performance!A:A,Lookup_Performance!D:D,0,-1)</f>
        <v>0.02</v>
      </c>
      <c r="L11" s="8">
        <f t="shared" si="1"/>
        <v>1899.96</v>
      </c>
    </row>
    <row r="12" spans="1:15" x14ac:dyDescent="0.25">
      <c r="A12" t="s">
        <v>26</v>
      </c>
      <c r="B12" t="s">
        <v>196</v>
      </c>
      <c r="C12" t="s">
        <v>24</v>
      </c>
      <c r="D12" s="2">
        <v>43911</v>
      </c>
      <c r="E12" s="14">
        <v>118635</v>
      </c>
      <c r="F12">
        <v>49</v>
      </c>
      <c r="G12" t="s">
        <v>25</v>
      </c>
      <c r="H12" t="str">
        <f>_xlfn.XLOOKUP(C12,Lookup_Departments!A:A,Lookup_Departments!B:B,"Code not Found")</f>
        <v>Sales</v>
      </c>
      <c r="I12">
        <f t="shared" ca="1" si="0"/>
        <v>6</v>
      </c>
      <c r="J12" t="str">
        <f>_xlfn.XLOOKUP(F12,Lookup_Performance!A:A,Lookup_Performance!C:C, "No Band",-1)</f>
        <v>Needs Improvement</v>
      </c>
      <c r="K12" s="9">
        <f>_xlfn.XLOOKUP(F12,Lookup_Performance!A:A,Lookup_Performance!D:D,0,-1)</f>
        <v>0</v>
      </c>
      <c r="L12" s="8">
        <f t="shared" si="1"/>
        <v>0</v>
      </c>
    </row>
    <row r="13" spans="1:15" x14ac:dyDescent="0.25">
      <c r="A13" t="s">
        <v>27</v>
      </c>
      <c r="B13" t="s">
        <v>197</v>
      </c>
      <c r="C13" t="s">
        <v>8</v>
      </c>
      <c r="D13" s="2">
        <v>42425</v>
      </c>
      <c r="E13" s="14">
        <v>76918</v>
      </c>
      <c r="F13">
        <v>62</v>
      </c>
      <c r="G13" t="s">
        <v>25</v>
      </c>
      <c r="H13" t="str">
        <f>_xlfn.XLOOKUP(C13,Lookup_Departments!A:A,Lookup_Departments!B:B,"Code not Found")</f>
        <v>Information Technology</v>
      </c>
      <c r="I13">
        <f t="shared" ca="1" si="0"/>
        <v>10</v>
      </c>
      <c r="J13" t="str">
        <f>_xlfn.XLOOKUP(F13,Lookup_Performance!A:A,Lookup_Performance!C:C, "No Band",-1)</f>
        <v>Developing</v>
      </c>
      <c r="K13" s="9">
        <f>_xlfn.XLOOKUP(F13,Lookup_Performance!A:A,Lookup_Performance!D:D,0,-1)</f>
        <v>0.02</v>
      </c>
      <c r="L13" s="8">
        <f t="shared" si="1"/>
        <v>1538.3600000000001</v>
      </c>
    </row>
    <row r="14" spans="1:15" x14ac:dyDescent="0.25">
      <c r="A14" t="s">
        <v>28</v>
      </c>
      <c r="B14" t="s">
        <v>198</v>
      </c>
      <c r="C14" t="s">
        <v>10</v>
      </c>
      <c r="D14" s="2">
        <v>44364</v>
      </c>
      <c r="E14" s="14">
        <v>61408</v>
      </c>
      <c r="F14">
        <v>48</v>
      </c>
      <c r="G14" t="s">
        <v>25</v>
      </c>
      <c r="H14" t="str">
        <f>_xlfn.XLOOKUP(C14,Lookup_Departments!A:A,Lookup_Departments!B:B,"Code not Found")</f>
        <v>Marketing</v>
      </c>
      <c r="I14">
        <f t="shared" ca="1" si="0"/>
        <v>5</v>
      </c>
      <c r="J14" t="str">
        <f>_xlfn.XLOOKUP(F14,Lookup_Performance!A:A,Lookup_Performance!C:C, "No Band",-1)</f>
        <v>Needs Improvement</v>
      </c>
      <c r="K14" s="9">
        <f>_xlfn.XLOOKUP(F14,Lookup_Performance!A:A,Lookup_Performance!D:D,0,-1)</f>
        <v>0</v>
      </c>
      <c r="L14" s="8">
        <f t="shared" si="1"/>
        <v>0</v>
      </c>
    </row>
    <row r="15" spans="1:15" x14ac:dyDescent="0.25">
      <c r="A15" t="s">
        <v>30</v>
      </c>
      <c r="B15" t="s">
        <v>199</v>
      </c>
      <c r="C15" t="s">
        <v>10</v>
      </c>
      <c r="D15" s="2">
        <v>44001</v>
      </c>
      <c r="E15" s="14">
        <v>99990</v>
      </c>
      <c r="F15">
        <v>54</v>
      </c>
      <c r="G15" t="s">
        <v>25</v>
      </c>
      <c r="H15" t="str">
        <f>_xlfn.XLOOKUP(C15,Lookup_Departments!A:A,Lookup_Departments!B:B,"Code not Found")</f>
        <v>Marketing</v>
      </c>
      <c r="I15">
        <f t="shared" ca="1" si="0"/>
        <v>6</v>
      </c>
      <c r="J15" t="str">
        <f>_xlfn.XLOOKUP(F15,Lookup_Performance!A:A,Lookup_Performance!C:C, "No Band",-1)</f>
        <v>Developing</v>
      </c>
      <c r="K15" s="9">
        <f>_xlfn.XLOOKUP(F15,Lookup_Performance!A:A,Lookup_Performance!D:D,0,-1)</f>
        <v>0.02</v>
      </c>
      <c r="L15" s="8">
        <f t="shared" si="1"/>
        <v>1999.8</v>
      </c>
    </row>
    <row r="16" spans="1:15" x14ac:dyDescent="0.25">
      <c r="A16" t="s">
        <v>31</v>
      </c>
      <c r="B16" t="s">
        <v>200</v>
      </c>
      <c r="C16" t="s">
        <v>10</v>
      </c>
      <c r="D16" s="2">
        <v>43820</v>
      </c>
      <c r="E16" s="14">
        <v>80385</v>
      </c>
      <c r="F16">
        <v>68</v>
      </c>
      <c r="G16" t="s">
        <v>25</v>
      </c>
      <c r="H16" t="str">
        <f>_xlfn.XLOOKUP(C16,Lookup_Departments!A:A,Lookup_Departments!B:B,"Code not Found")</f>
        <v>Marketing</v>
      </c>
      <c r="I16">
        <f t="shared" ca="1" si="0"/>
        <v>6</v>
      </c>
      <c r="J16" t="str">
        <f>_xlfn.XLOOKUP(F16,Lookup_Performance!A:A,Lookup_Performance!C:C, "No Band",-1)</f>
        <v>Developing</v>
      </c>
      <c r="K16" s="9">
        <f>_xlfn.XLOOKUP(F16,Lookup_Performance!A:A,Lookup_Performance!D:D,0,-1)</f>
        <v>0.02</v>
      </c>
      <c r="L16" s="8">
        <f t="shared" si="1"/>
        <v>1607.7</v>
      </c>
    </row>
    <row r="17" spans="1:12" x14ac:dyDescent="0.25">
      <c r="A17" t="s">
        <v>33</v>
      </c>
      <c r="B17" t="s">
        <v>201</v>
      </c>
      <c r="C17" t="s">
        <v>24</v>
      </c>
      <c r="D17" s="2">
        <v>45169</v>
      </c>
      <c r="E17" s="14">
        <v>65290</v>
      </c>
      <c r="F17">
        <v>77</v>
      </c>
      <c r="G17" t="s">
        <v>25</v>
      </c>
      <c r="H17" t="str">
        <f>_xlfn.XLOOKUP(C17,Lookup_Departments!A:A,Lookup_Departments!B:B,"Code not Found")</f>
        <v>Sales</v>
      </c>
      <c r="I17">
        <f t="shared" ca="1" si="0"/>
        <v>2</v>
      </c>
      <c r="J17" t="str">
        <f>_xlfn.XLOOKUP(F17,Lookup_Performance!A:A,Lookup_Performance!C:C, "No Band",-1)</f>
        <v>Achieving</v>
      </c>
      <c r="K17" s="9">
        <f>_xlfn.XLOOKUP(F17,Lookup_Performance!A:A,Lookup_Performance!D:D,0,-1)</f>
        <v>0.05</v>
      </c>
      <c r="L17" s="8">
        <f t="shared" si="1"/>
        <v>3264.5</v>
      </c>
    </row>
    <row r="18" spans="1:12" x14ac:dyDescent="0.25">
      <c r="A18" t="s">
        <v>34</v>
      </c>
      <c r="B18" t="s">
        <v>202</v>
      </c>
      <c r="C18" t="s">
        <v>8</v>
      </c>
      <c r="D18" s="2">
        <v>42337</v>
      </c>
      <c r="E18" s="14">
        <v>105765</v>
      </c>
      <c r="F18">
        <v>42</v>
      </c>
      <c r="G18" t="s">
        <v>25</v>
      </c>
      <c r="H18" t="str">
        <f>_xlfn.XLOOKUP(C18,Lookup_Departments!A:A,Lookup_Departments!B:B,"Code not Found")</f>
        <v>Information Technology</v>
      </c>
      <c r="I18">
        <f t="shared" ca="1" si="0"/>
        <v>10</v>
      </c>
      <c r="J18" t="str">
        <f>_xlfn.XLOOKUP(F18,Lookup_Performance!A:A,Lookup_Performance!C:C, "No Band",-1)</f>
        <v>Needs Improvement</v>
      </c>
      <c r="K18" s="9">
        <f>_xlfn.XLOOKUP(F18,Lookup_Performance!A:A,Lookup_Performance!D:D,0,-1)</f>
        <v>0</v>
      </c>
      <c r="L18" s="8">
        <f t="shared" si="1"/>
        <v>0</v>
      </c>
    </row>
    <row r="19" spans="1:12" x14ac:dyDescent="0.25">
      <c r="A19" t="s">
        <v>35</v>
      </c>
      <c r="B19" t="s">
        <v>203</v>
      </c>
      <c r="C19" t="s">
        <v>24</v>
      </c>
      <c r="D19" s="2">
        <v>42899</v>
      </c>
      <c r="E19" s="14">
        <v>102921</v>
      </c>
      <c r="F19">
        <v>49</v>
      </c>
      <c r="G19" t="s">
        <v>25</v>
      </c>
      <c r="H19" t="str">
        <f>_xlfn.XLOOKUP(C19,Lookup_Departments!A:A,Lookup_Departments!B:B,"Code not Found")</f>
        <v>Sales</v>
      </c>
      <c r="I19">
        <f t="shared" ca="1" si="0"/>
        <v>9</v>
      </c>
      <c r="J19" t="str">
        <f>_xlfn.XLOOKUP(F19,Lookup_Performance!A:A,Lookup_Performance!C:C, "No Band",-1)</f>
        <v>Needs Improvement</v>
      </c>
      <c r="K19" s="9">
        <f>_xlfn.XLOOKUP(F19,Lookup_Performance!A:A,Lookup_Performance!D:D,0,-1)</f>
        <v>0</v>
      </c>
      <c r="L19" s="8">
        <f t="shared" si="1"/>
        <v>0</v>
      </c>
    </row>
    <row r="20" spans="1:12" x14ac:dyDescent="0.25">
      <c r="A20" t="s">
        <v>36</v>
      </c>
      <c r="B20" t="s">
        <v>204</v>
      </c>
      <c r="C20" t="s">
        <v>10</v>
      </c>
      <c r="D20" s="2">
        <v>43235</v>
      </c>
      <c r="E20" s="14">
        <v>73984</v>
      </c>
      <c r="F20">
        <v>93</v>
      </c>
      <c r="G20" t="s">
        <v>25</v>
      </c>
      <c r="H20" t="str">
        <f>_xlfn.XLOOKUP(C20,Lookup_Departments!A:A,Lookup_Departments!B:B,"Code not Found")</f>
        <v>Marketing</v>
      </c>
      <c r="I20">
        <f t="shared" ca="1" si="0"/>
        <v>8</v>
      </c>
      <c r="J20" t="str">
        <f>_xlfn.XLOOKUP(F20,Lookup_Performance!A:A,Lookup_Performance!C:C, "No Band",-1)</f>
        <v>Exceeding</v>
      </c>
      <c r="K20" s="9">
        <f>_xlfn.XLOOKUP(F20,Lookup_Performance!A:A,Lookup_Performance!D:D,0,-1)</f>
        <v>0.08</v>
      </c>
      <c r="L20" s="8">
        <f t="shared" si="1"/>
        <v>5918.72</v>
      </c>
    </row>
    <row r="21" spans="1:12" x14ac:dyDescent="0.25">
      <c r="A21" t="s">
        <v>37</v>
      </c>
      <c r="B21" t="s">
        <v>205</v>
      </c>
      <c r="C21" t="s">
        <v>8</v>
      </c>
      <c r="D21" s="2">
        <v>42575</v>
      </c>
      <c r="E21" s="14">
        <v>83604</v>
      </c>
      <c r="F21">
        <v>75</v>
      </c>
      <c r="G21" t="s">
        <v>25</v>
      </c>
      <c r="H21" t="str">
        <f>_xlfn.XLOOKUP(C21,Lookup_Departments!A:A,Lookup_Departments!B:B,"Code not Found")</f>
        <v>Information Technology</v>
      </c>
      <c r="I21">
        <f t="shared" ca="1" si="0"/>
        <v>9</v>
      </c>
      <c r="J21" t="str">
        <f>_xlfn.XLOOKUP(F21,Lookup_Performance!A:A,Lookup_Performance!C:C, "No Band",-1)</f>
        <v>Achieving</v>
      </c>
      <c r="K21" s="9">
        <f>_xlfn.XLOOKUP(F21,Lookup_Performance!A:A,Lookup_Performance!D:D,0,-1)</f>
        <v>0.05</v>
      </c>
      <c r="L21" s="8">
        <f t="shared" si="1"/>
        <v>4180.2</v>
      </c>
    </row>
    <row r="22" spans="1:12" x14ac:dyDescent="0.25">
      <c r="A22" t="s">
        <v>38</v>
      </c>
      <c r="B22" t="s">
        <v>206</v>
      </c>
      <c r="C22" t="s">
        <v>13</v>
      </c>
      <c r="D22" s="2">
        <v>43076</v>
      </c>
      <c r="E22" s="14">
        <v>118527</v>
      </c>
      <c r="F22">
        <v>50</v>
      </c>
      <c r="G22" t="s">
        <v>25</v>
      </c>
      <c r="H22" t="str">
        <f>_xlfn.XLOOKUP(C22,Lookup_Departments!A:A,Lookup_Departments!B:B,"Code not Found")</f>
        <v>Finance</v>
      </c>
      <c r="I22">
        <f t="shared" ca="1" si="0"/>
        <v>8</v>
      </c>
      <c r="J22" t="str">
        <f>_xlfn.XLOOKUP(F22,Lookup_Performance!A:A,Lookup_Performance!C:C, "No Band",-1)</f>
        <v>Developing</v>
      </c>
      <c r="K22" s="9">
        <f>_xlfn.XLOOKUP(F22,Lookup_Performance!A:A,Lookup_Performance!D:D,0,-1)</f>
        <v>0.02</v>
      </c>
      <c r="L22" s="8">
        <f t="shared" si="1"/>
        <v>2370.54</v>
      </c>
    </row>
    <row r="23" spans="1:12" x14ac:dyDescent="0.25">
      <c r="A23" t="s">
        <v>39</v>
      </c>
      <c r="B23" t="s">
        <v>188</v>
      </c>
      <c r="C23" t="s">
        <v>10</v>
      </c>
      <c r="D23" s="2">
        <v>44353</v>
      </c>
      <c r="E23" s="14">
        <v>107871</v>
      </c>
      <c r="F23">
        <v>88</v>
      </c>
      <c r="G23" t="s">
        <v>25</v>
      </c>
      <c r="H23" t="str">
        <f>_xlfn.XLOOKUP(C23,Lookup_Departments!A:A,Lookup_Departments!B:B,"Code not Found")</f>
        <v>Marketing</v>
      </c>
      <c r="I23">
        <f t="shared" ca="1" si="0"/>
        <v>5</v>
      </c>
      <c r="J23" t="str">
        <f>_xlfn.XLOOKUP(F23,Lookup_Performance!A:A,Lookup_Performance!C:C, "No Band",-1)</f>
        <v>Exceeding</v>
      </c>
      <c r="K23" s="9">
        <f>_xlfn.XLOOKUP(F23,Lookup_Performance!A:A,Lookup_Performance!D:D,0,-1)</f>
        <v>0.08</v>
      </c>
      <c r="L23" s="8">
        <f t="shared" si="1"/>
        <v>8629.68</v>
      </c>
    </row>
    <row r="24" spans="1:12" x14ac:dyDescent="0.25">
      <c r="A24" t="s">
        <v>40</v>
      </c>
      <c r="B24" t="s">
        <v>207</v>
      </c>
      <c r="C24" t="s">
        <v>8</v>
      </c>
      <c r="D24" s="2">
        <v>44815</v>
      </c>
      <c r="E24" s="14">
        <v>93956</v>
      </c>
      <c r="F24">
        <v>50</v>
      </c>
      <c r="G24" t="s">
        <v>16</v>
      </c>
      <c r="H24" t="str">
        <f>_xlfn.XLOOKUP(C24,Lookup_Departments!A:A,Lookup_Departments!B:B,"Code not Found")</f>
        <v>Information Technology</v>
      </c>
      <c r="I24">
        <f t="shared" ca="1" si="0"/>
        <v>3</v>
      </c>
      <c r="J24" t="str">
        <f>_xlfn.XLOOKUP(F24,Lookup_Performance!A:A,Lookup_Performance!C:C, "No Band",-1)</f>
        <v>Developing</v>
      </c>
      <c r="K24" s="9">
        <f>_xlfn.XLOOKUP(F24,Lookup_Performance!A:A,Lookup_Performance!D:D,0,-1)</f>
        <v>0.02</v>
      </c>
      <c r="L24" s="8">
        <f t="shared" si="1"/>
        <v>1879.1200000000001</v>
      </c>
    </row>
    <row r="25" spans="1:12" x14ac:dyDescent="0.25">
      <c r="A25" t="s">
        <v>41</v>
      </c>
      <c r="B25" t="s">
        <v>208</v>
      </c>
      <c r="C25" t="s">
        <v>13</v>
      </c>
      <c r="D25" s="2">
        <v>42565</v>
      </c>
      <c r="E25" s="14">
        <v>100851</v>
      </c>
      <c r="F25">
        <v>64</v>
      </c>
      <c r="G25" t="s">
        <v>25</v>
      </c>
      <c r="H25" t="str">
        <f>_xlfn.XLOOKUP(C25,Lookup_Departments!A:A,Lookup_Departments!B:B,"Code not Found")</f>
        <v>Finance</v>
      </c>
      <c r="I25">
        <f t="shared" ca="1" si="0"/>
        <v>9</v>
      </c>
      <c r="J25" t="str">
        <f>_xlfn.XLOOKUP(F25,Lookup_Performance!A:A,Lookup_Performance!C:C, "No Band",-1)</f>
        <v>Developing</v>
      </c>
      <c r="K25" s="9">
        <f>_xlfn.XLOOKUP(F25,Lookup_Performance!A:A,Lookup_Performance!D:D,0,-1)</f>
        <v>0.02</v>
      </c>
      <c r="L25" s="8">
        <f t="shared" si="1"/>
        <v>2017.02</v>
      </c>
    </row>
    <row r="26" spans="1:12" x14ac:dyDescent="0.25">
      <c r="A26" t="s">
        <v>42</v>
      </c>
      <c r="B26" t="s">
        <v>209</v>
      </c>
      <c r="C26" t="s">
        <v>24</v>
      </c>
      <c r="D26" s="2">
        <v>44728</v>
      </c>
      <c r="E26" s="14">
        <v>68655</v>
      </c>
      <c r="F26">
        <v>32</v>
      </c>
      <c r="G26" t="s">
        <v>25</v>
      </c>
      <c r="H26" t="str">
        <f>_xlfn.XLOOKUP(C26,Lookup_Departments!A:A,Lookup_Departments!B:B,"Code not Found")</f>
        <v>Sales</v>
      </c>
      <c r="I26">
        <f t="shared" ca="1" si="0"/>
        <v>4</v>
      </c>
      <c r="J26" t="str">
        <f>_xlfn.XLOOKUP(F26,Lookup_Performance!A:A,Lookup_Performance!C:C, "No Band",-1)</f>
        <v>Needs Improvement</v>
      </c>
      <c r="K26" s="9">
        <f>_xlfn.XLOOKUP(F26,Lookup_Performance!A:A,Lookup_Performance!D:D,0,-1)</f>
        <v>0</v>
      </c>
      <c r="L26" s="8">
        <f t="shared" si="1"/>
        <v>0</v>
      </c>
    </row>
    <row r="27" spans="1:12" x14ac:dyDescent="0.25">
      <c r="A27" t="s">
        <v>43</v>
      </c>
      <c r="B27" t="s">
        <v>29</v>
      </c>
      <c r="C27" t="s">
        <v>24</v>
      </c>
      <c r="D27" s="2">
        <v>45134</v>
      </c>
      <c r="E27" s="14">
        <v>81205</v>
      </c>
      <c r="F27">
        <v>59</v>
      </c>
      <c r="G27" t="s">
        <v>25</v>
      </c>
      <c r="H27" t="str">
        <f>_xlfn.XLOOKUP(C27,Lookup_Departments!A:A,Lookup_Departments!B:B,"Code not Found")</f>
        <v>Sales</v>
      </c>
      <c r="I27">
        <f t="shared" ca="1" si="0"/>
        <v>2</v>
      </c>
      <c r="J27" t="str">
        <f>_xlfn.XLOOKUP(F27,Lookup_Performance!A:A,Lookup_Performance!C:C, "No Band",-1)</f>
        <v>Developing</v>
      </c>
      <c r="K27" s="9">
        <f>_xlfn.XLOOKUP(F27,Lookup_Performance!A:A,Lookup_Performance!D:D,0,-1)</f>
        <v>0.02</v>
      </c>
      <c r="L27" s="8">
        <f t="shared" si="1"/>
        <v>1624.1000000000001</v>
      </c>
    </row>
    <row r="28" spans="1:12" x14ac:dyDescent="0.25">
      <c r="A28" t="s">
        <v>44</v>
      </c>
      <c r="B28" t="s">
        <v>193</v>
      </c>
      <c r="C28" t="s">
        <v>24</v>
      </c>
      <c r="D28" s="2">
        <v>43732</v>
      </c>
      <c r="E28" s="14">
        <v>77610</v>
      </c>
      <c r="F28">
        <v>88</v>
      </c>
      <c r="G28" t="s">
        <v>25</v>
      </c>
      <c r="H28" t="str">
        <f>_xlfn.XLOOKUP(C28,Lookup_Departments!A:A,Lookup_Departments!B:B,"Code not Found")</f>
        <v>Sales</v>
      </c>
      <c r="I28">
        <f t="shared" ca="1" si="0"/>
        <v>6</v>
      </c>
      <c r="J28" t="str">
        <f>_xlfn.XLOOKUP(F28,Lookup_Performance!A:A,Lookup_Performance!C:C, "No Band",-1)</f>
        <v>Exceeding</v>
      </c>
      <c r="K28" s="9">
        <f>_xlfn.XLOOKUP(F28,Lookup_Performance!A:A,Lookup_Performance!D:D,0,-1)</f>
        <v>0.08</v>
      </c>
      <c r="L28" s="8">
        <f t="shared" si="1"/>
        <v>6208.8</v>
      </c>
    </row>
    <row r="29" spans="1:12" x14ac:dyDescent="0.25">
      <c r="A29" t="s">
        <v>45</v>
      </c>
      <c r="B29" t="s">
        <v>201</v>
      </c>
      <c r="C29" t="s">
        <v>8</v>
      </c>
      <c r="D29" s="2">
        <v>44765</v>
      </c>
      <c r="E29" s="14">
        <v>50873</v>
      </c>
      <c r="F29">
        <v>90</v>
      </c>
      <c r="G29" t="s">
        <v>25</v>
      </c>
      <c r="H29" t="str">
        <f>_xlfn.XLOOKUP(C29,Lookup_Departments!A:A,Lookup_Departments!B:B,"Code not Found")</f>
        <v>Information Technology</v>
      </c>
      <c r="I29">
        <f t="shared" ca="1" si="0"/>
        <v>3</v>
      </c>
      <c r="J29" t="str">
        <f>_xlfn.XLOOKUP(F29,Lookup_Performance!A:A,Lookup_Performance!C:C, "No Band",-1)</f>
        <v>Exceeding</v>
      </c>
      <c r="K29" s="9">
        <f>_xlfn.XLOOKUP(F29,Lookup_Performance!A:A,Lookup_Performance!D:D,0,-1)</f>
        <v>0.08</v>
      </c>
      <c r="L29" s="8">
        <f t="shared" si="1"/>
        <v>4069.84</v>
      </c>
    </row>
    <row r="30" spans="1:12" x14ac:dyDescent="0.25">
      <c r="A30" t="s">
        <v>46</v>
      </c>
      <c r="B30" t="s">
        <v>210</v>
      </c>
      <c r="C30" t="s">
        <v>13</v>
      </c>
      <c r="D30" s="2">
        <v>43233</v>
      </c>
      <c r="E30" s="14">
        <v>85312</v>
      </c>
      <c r="F30">
        <v>66</v>
      </c>
      <c r="G30" t="s">
        <v>25</v>
      </c>
      <c r="H30" t="str">
        <f>_xlfn.XLOOKUP(C30,Lookup_Departments!A:A,Lookup_Departments!B:B,"Code not Found")</f>
        <v>Finance</v>
      </c>
      <c r="I30">
        <f t="shared" ca="1" si="0"/>
        <v>8</v>
      </c>
      <c r="J30" t="str">
        <f>_xlfn.XLOOKUP(F30,Lookup_Performance!A:A,Lookup_Performance!C:C, "No Band",-1)</f>
        <v>Developing</v>
      </c>
      <c r="K30" s="9">
        <f>_xlfn.XLOOKUP(F30,Lookup_Performance!A:A,Lookup_Performance!D:D,0,-1)</f>
        <v>0.02</v>
      </c>
      <c r="L30" s="8">
        <f t="shared" si="1"/>
        <v>1706.24</v>
      </c>
    </row>
    <row r="31" spans="1:12" x14ac:dyDescent="0.25">
      <c r="A31" t="s">
        <v>47</v>
      </c>
      <c r="B31" t="s">
        <v>211</v>
      </c>
      <c r="C31" t="s">
        <v>24</v>
      </c>
      <c r="D31" s="2">
        <v>42202</v>
      </c>
      <c r="E31" s="14">
        <v>83604</v>
      </c>
      <c r="F31">
        <v>68</v>
      </c>
      <c r="G31" t="s">
        <v>25</v>
      </c>
      <c r="H31" t="str">
        <f>_xlfn.XLOOKUP(C31,Lookup_Departments!A:A,Lookup_Departments!B:B,"Code not Found")</f>
        <v>Sales</v>
      </c>
      <c r="I31">
        <f t="shared" ca="1" si="0"/>
        <v>10</v>
      </c>
      <c r="J31" t="str">
        <f>_xlfn.XLOOKUP(F31,Lookup_Performance!A:A,Lookup_Performance!C:C, "No Band",-1)</f>
        <v>Developing</v>
      </c>
      <c r="K31" s="9">
        <f>_xlfn.XLOOKUP(F31,Lookup_Performance!A:A,Lookup_Performance!D:D,0,-1)</f>
        <v>0.02</v>
      </c>
      <c r="L31" s="8">
        <f t="shared" si="1"/>
        <v>1672.08</v>
      </c>
    </row>
    <row r="32" spans="1:12" x14ac:dyDescent="0.25">
      <c r="A32" t="s">
        <v>48</v>
      </c>
      <c r="B32" t="s">
        <v>212</v>
      </c>
      <c r="C32" t="s">
        <v>18</v>
      </c>
      <c r="D32" s="2">
        <v>42221</v>
      </c>
      <c r="E32" s="14">
        <v>97055</v>
      </c>
      <c r="F32">
        <v>80</v>
      </c>
      <c r="G32" t="s">
        <v>25</v>
      </c>
      <c r="H32" t="str">
        <f>_xlfn.XLOOKUP(C32,Lookup_Departments!A:A,Lookup_Departments!B:B,"Code not Found")</f>
        <v>Operations</v>
      </c>
      <c r="I32">
        <f t="shared" ca="1" si="0"/>
        <v>10</v>
      </c>
      <c r="J32" t="str">
        <f>_xlfn.XLOOKUP(F32,Lookup_Performance!A:A,Lookup_Performance!C:C, "No Band",-1)</f>
        <v>Achieving</v>
      </c>
      <c r="K32" s="9">
        <f>_xlfn.XLOOKUP(F32,Lookup_Performance!A:A,Lookup_Performance!D:D,0,-1)</f>
        <v>0.05</v>
      </c>
      <c r="L32" s="8">
        <f t="shared" si="1"/>
        <v>4852.75</v>
      </c>
    </row>
    <row r="33" spans="1:12" x14ac:dyDescent="0.25">
      <c r="A33" t="s">
        <v>49</v>
      </c>
      <c r="B33" t="s">
        <v>213</v>
      </c>
      <c r="C33" t="s">
        <v>8</v>
      </c>
      <c r="D33" s="2">
        <v>45195</v>
      </c>
      <c r="E33" s="14">
        <v>66069</v>
      </c>
      <c r="F33">
        <v>72</v>
      </c>
      <c r="G33" t="s">
        <v>25</v>
      </c>
      <c r="H33" t="str">
        <f>_xlfn.XLOOKUP(C33,Lookup_Departments!A:A,Lookup_Departments!B:B,"Code not Found")</f>
        <v>Information Technology</v>
      </c>
      <c r="I33">
        <f t="shared" ca="1" si="0"/>
        <v>2</v>
      </c>
      <c r="J33" t="str">
        <f>_xlfn.XLOOKUP(F33,Lookup_Performance!A:A,Lookup_Performance!C:C, "No Band",-1)</f>
        <v>Achieving</v>
      </c>
      <c r="K33" s="9">
        <f>_xlfn.XLOOKUP(F33,Lookup_Performance!A:A,Lookup_Performance!D:D,0,-1)</f>
        <v>0.05</v>
      </c>
      <c r="L33" s="8">
        <f t="shared" si="1"/>
        <v>3303.4500000000003</v>
      </c>
    </row>
    <row r="34" spans="1:12" x14ac:dyDescent="0.25">
      <c r="A34" t="s">
        <v>50</v>
      </c>
      <c r="B34" t="s">
        <v>214</v>
      </c>
      <c r="C34" t="s">
        <v>8</v>
      </c>
      <c r="D34" s="2">
        <v>43626</v>
      </c>
      <c r="E34" s="14">
        <v>90157</v>
      </c>
      <c r="F34">
        <v>58</v>
      </c>
      <c r="G34" t="s">
        <v>25</v>
      </c>
      <c r="H34" t="str">
        <f>_xlfn.XLOOKUP(C34,Lookup_Departments!A:A,Lookup_Departments!B:B,"Code not Found")</f>
        <v>Information Technology</v>
      </c>
      <c r="I34">
        <f t="shared" ref="I34:I65" ca="1" si="2">DATEDIF(D34,TODAY(),"Y")</f>
        <v>7</v>
      </c>
      <c r="J34" t="str">
        <f>_xlfn.XLOOKUP(F34,Lookup_Performance!A:A,Lookup_Performance!C:C, "No Band",-1)</f>
        <v>Developing</v>
      </c>
      <c r="K34" s="9">
        <f>_xlfn.XLOOKUP(F34,Lookup_Performance!A:A,Lookup_Performance!D:D,0,-1)</f>
        <v>0.02</v>
      </c>
      <c r="L34" s="8">
        <f t="shared" ref="L34:L65" si="3">E34*K34</f>
        <v>1803.14</v>
      </c>
    </row>
    <row r="35" spans="1:12" x14ac:dyDescent="0.25">
      <c r="A35" t="s">
        <v>51</v>
      </c>
      <c r="B35" t="s">
        <v>215</v>
      </c>
      <c r="C35" t="s">
        <v>52</v>
      </c>
      <c r="D35" s="2">
        <v>44578</v>
      </c>
      <c r="E35" s="14">
        <v>59899</v>
      </c>
      <c r="F35">
        <v>78</v>
      </c>
      <c r="G35" t="s">
        <v>25</v>
      </c>
      <c r="H35" t="str">
        <f>_xlfn.XLOOKUP(C35,Lookup_Departments!A:A,Lookup_Departments!B:B,"Code not Found")</f>
        <v>Human Resources</v>
      </c>
      <c r="I35">
        <f t="shared" ca="1" si="2"/>
        <v>4</v>
      </c>
      <c r="J35" t="str">
        <f>_xlfn.XLOOKUP(F35,Lookup_Performance!A:A,Lookup_Performance!C:C, "No Band",-1)</f>
        <v>Achieving</v>
      </c>
      <c r="K35" s="9">
        <f>_xlfn.XLOOKUP(F35,Lookup_Performance!A:A,Lookup_Performance!D:D,0,-1)</f>
        <v>0.05</v>
      </c>
      <c r="L35" s="8">
        <f t="shared" si="3"/>
        <v>2994.9500000000003</v>
      </c>
    </row>
    <row r="36" spans="1:12" x14ac:dyDescent="0.25">
      <c r="A36" t="s">
        <v>53</v>
      </c>
      <c r="B36" t="s">
        <v>216</v>
      </c>
      <c r="C36" t="s">
        <v>13</v>
      </c>
      <c r="D36" s="2">
        <v>42919</v>
      </c>
      <c r="E36" s="14">
        <v>113389</v>
      </c>
      <c r="F36">
        <v>30</v>
      </c>
      <c r="G36" t="s">
        <v>25</v>
      </c>
      <c r="H36" t="str">
        <f>_xlfn.XLOOKUP(C36,Lookup_Departments!A:A,Lookup_Departments!B:B,"Code not Found")</f>
        <v>Finance</v>
      </c>
      <c r="I36">
        <f t="shared" ca="1" si="2"/>
        <v>9</v>
      </c>
      <c r="J36" t="str">
        <f>_xlfn.XLOOKUP(F36,Lookup_Performance!A:A,Lookup_Performance!C:C, "No Band",-1)</f>
        <v>Needs Improvement</v>
      </c>
      <c r="K36" s="9">
        <f>_xlfn.XLOOKUP(F36,Lookup_Performance!A:A,Lookup_Performance!D:D,0,-1)</f>
        <v>0</v>
      </c>
      <c r="L36" s="8">
        <f t="shared" si="3"/>
        <v>0</v>
      </c>
    </row>
    <row r="37" spans="1:12" x14ac:dyDescent="0.25">
      <c r="A37" t="s">
        <v>54</v>
      </c>
      <c r="B37" t="s">
        <v>7</v>
      </c>
      <c r="C37" t="s">
        <v>8</v>
      </c>
      <c r="D37" s="2">
        <v>42248</v>
      </c>
      <c r="E37" s="14">
        <v>102691</v>
      </c>
      <c r="F37">
        <v>52</v>
      </c>
      <c r="G37" t="s">
        <v>25</v>
      </c>
      <c r="H37" t="str">
        <f>_xlfn.XLOOKUP(C37,Lookup_Departments!A:A,Lookup_Departments!B:B,"Code not Found")</f>
        <v>Information Technology</v>
      </c>
      <c r="I37">
        <f t="shared" ca="1" si="2"/>
        <v>10</v>
      </c>
      <c r="J37" t="str">
        <f>_xlfn.XLOOKUP(F37,Lookup_Performance!A:A,Lookup_Performance!C:C, "No Band",-1)</f>
        <v>Developing</v>
      </c>
      <c r="K37" s="9">
        <f>_xlfn.XLOOKUP(F37,Lookup_Performance!A:A,Lookup_Performance!D:D,0,-1)</f>
        <v>0.02</v>
      </c>
      <c r="L37" s="8">
        <f t="shared" si="3"/>
        <v>2053.8200000000002</v>
      </c>
    </row>
    <row r="38" spans="1:12" x14ac:dyDescent="0.25">
      <c r="A38" t="s">
        <v>55</v>
      </c>
      <c r="B38" t="s">
        <v>193</v>
      </c>
      <c r="C38" t="s">
        <v>18</v>
      </c>
      <c r="D38" s="2">
        <v>44776</v>
      </c>
      <c r="E38" s="14">
        <v>111845</v>
      </c>
      <c r="F38">
        <v>98</v>
      </c>
      <c r="G38" t="s">
        <v>25</v>
      </c>
      <c r="H38" t="str">
        <f>_xlfn.XLOOKUP(C38,Lookup_Departments!A:A,Lookup_Departments!B:B,"Code not Found")</f>
        <v>Operations</v>
      </c>
      <c r="I38">
        <f t="shared" ca="1" si="2"/>
        <v>3</v>
      </c>
      <c r="J38" t="str">
        <f>_xlfn.XLOOKUP(F38,Lookup_Performance!A:A,Lookup_Performance!C:C, "No Band",-1)</f>
        <v>Outstanding</v>
      </c>
      <c r="K38" s="9">
        <f>_xlfn.XLOOKUP(F38,Lookup_Performance!A:A,Lookup_Performance!D:D,0,-1)</f>
        <v>0.12</v>
      </c>
      <c r="L38" s="8">
        <f t="shared" si="3"/>
        <v>13421.4</v>
      </c>
    </row>
    <row r="39" spans="1:12" x14ac:dyDescent="0.25">
      <c r="A39" t="s">
        <v>56</v>
      </c>
      <c r="B39" t="s">
        <v>217</v>
      </c>
      <c r="C39" t="s">
        <v>24</v>
      </c>
      <c r="D39" s="2">
        <v>44741</v>
      </c>
      <c r="E39" s="14">
        <v>69219</v>
      </c>
      <c r="F39">
        <v>93</v>
      </c>
      <c r="G39" t="s">
        <v>25</v>
      </c>
      <c r="H39" t="str">
        <f>_xlfn.XLOOKUP(C39,Lookup_Departments!A:A,Lookup_Departments!B:B,"Code not Found")</f>
        <v>Sales</v>
      </c>
      <c r="I39">
        <f t="shared" ca="1" si="2"/>
        <v>4</v>
      </c>
      <c r="J39" t="str">
        <f>_xlfn.XLOOKUP(F39,Lookup_Performance!A:A,Lookup_Performance!C:C, "No Band",-1)</f>
        <v>Exceeding</v>
      </c>
      <c r="K39" s="9">
        <f>_xlfn.XLOOKUP(F39,Lookup_Performance!A:A,Lookup_Performance!D:D,0,-1)</f>
        <v>0.08</v>
      </c>
      <c r="L39" s="8">
        <f t="shared" si="3"/>
        <v>5537.52</v>
      </c>
    </row>
    <row r="40" spans="1:12" x14ac:dyDescent="0.25">
      <c r="A40" t="s">
        <v>57</v>
      </c>
      <c r="B40" t="s">
        <v>218</v>
      </c>
      <c r="C40" t="s">
        <v>13</v>
      </c>
      <c r="D40" s="2">
        <v>43949</v>
      </c>
      <c r="E40" s="14">
        <v>83604</v>
      </c>
      <c r="F40">
        <v>80</v>
      </c>
      <c r="G40" t="s">
        <v>16</v>
      </c>
      <c r="H40" t="str">
        <f>_xlfn.XLOOKUP(C40,Lookup_Departments!A:A,Lookup_Departments!B:B,"Code not Found")</f>
        <v>Finance</v>
      </c>
      <c r="I40">
        <f t="shared" ca="1" si="2"/>
        <v>6</v>
      </c>
      <c r="J40" t="str">
        <f>_xlfn.XLOOKUP(F40,Lookup_Performance!A:A,Lookup_Performance!C:C, "No Band",-1)</f>
        <v>Achieving</v>
      </c>
      <c r="K40" s="9">
        <f>_xlfn.XLOOKUP(F40,Lookup_Performance!A:A,Lookup_Performance!D:D,0,-1)</f>
        <v>0.05</v>
      </c>
      <c r="L40" s="8">
        <f t="shared" si="3"/>
        <v>4180.2</v>
      </c>
    </row>
    <row r="41" spans="1:12" x14ac:dyDescent="0.25">
      <c r="A41" t="s">
        <v>58</v>
      </c>
      <c r="B41" t="s">
        <v>219</v>
      </c>
      <c r="C41" t="s">
        <v>18</v>
      </c>
      <c r="D41" s="2">
        <v>42987</v>
      </c>
      <c r="E41" s="14">
        <v>57514</v>
      </c>
      <c r="F41">
        <v>68</v>
      </c>
      <c r="G41" t="s">
        <v>25</v>
      </c>
      <c r="H41" t="str">
        <f>_xlfn.XLOOKUP(C41,Lookup_Departments!A:A,Lookup_Departments!B:B,"Code not Found")</f>
        <v>Operations</v>
      </c>
      <c r="I41">
        <f t="shared" ca="1" si="2"/>
        <v>8</v>
      </c>
      <c r="J41" t="str">
        <f>_xlfn.XLOOKUP(F41,Lookup_Performance!A:A,Lookup_Performance!C:C, "No Band",-1)</f>
        <v>Developing</v>
      </c>
      <c r="K41" s="9">
        <f>_xlfn.XLOOKUP(F41,Lookup_Performance!A:A,Lookup_Performance!D:D,0,-1)</f>
        <v>0.02</v>
      </c>
      <c r="L41" s="8">
        <f t="shared" si="3"/>
        <v>1150.28</v>
      </c>
    </row>
    <row r="42" spans="1:12" x14ac:dyDescent="0.25">
      <c r="A42" t="s">
        <v>59</v>
      </c>
      <c r="B42" t="s">
        <v>220</v>
      </c>
      <c r="C42" t="s">
        <v>24</v>
      </c>
      <c r="D42" s="2">
        <v>43181</v>
      </c>
      <c r="E42" s="14">
        <v>86245</v>
      </c>
      <c r="F42">
        <v>71</v>
      </c>
      <c r="G42" t="s">
        <v>16</v>
      </c>
      <c r="H42" t="str">
        <f>_xlfn.XLOOKUP(C42,Lookup_Departments!A:A,Lookup_Departments!B:B,"Code not Found")</f>
        <v>Sales</v>
      </c>
      <c r="I42">
        <f t="shared" ca="1" si="2"/>
        <v>8</v>
      </c>
      <c r="J42" t="str">
        <f>_xlfn.XLOOKUP(F42,Lookup_Performance!A:A,Lookup_Performance!C:C, "No Band",-1)</f>
        <v>Achieving</v>
      </c>
      <c r="K42" s="9">
        <f>_xlfn.XLOOKUP(F42,Lookup_Performance!A:A,Lookup_Performance!D:D,0,-1)</f>
        <v>0.05</v>
      </c>
      <c r="L42" s="8">
        <f t="shared" si="3"/>
        <v>4312.25</v>
      </c>
    </row>
    <row r="43" spans="1:12" x14ac:dyDescent="0.25">
      <c r="A43" t="s">
        <v>60</v>
      </c>
      <c r="B43" t="s">
        <v>221</v>
      </c>
      <c r="C43" t="s">
        <v>24</v>
      </c>
      <c r="D43" s="2">
        <v>43958</v>
      </c>
      <c r="E43" s="14">
        <v>52407</v>
      </c>
      <c r="F43">
        <v>55</v>
      </c>
      <c r="G43" t="s">
        <v>25</v>
      </c>
      <c r="H43" t="str">
        <f>_xlfn.XLOOKUP(C43,Lookup_Departments!A:A,Lookup_Departments!B:B,"Code not Found")</f>
        <v>Sales</v>
      </c>
      <c r="I43">
        <f t="shared" ca="1" si="2"/>
        <v>6</v>
      </c>
      <c r="J43" t="str">
        <f>_xlfn.XLOOKUP(F43,Lookup_Performance!A:A,Lookup_Performance!C:C, "No Band",-1)</f>
        <v>Developing</v>
      </c>
      <c r="K43" s="9">
        <f>_xlfn.XLOOKUP(F43,Lookup_Performance!A:A,Lookup_Performance!D:D,0,-1)</f>
        <v>0.02</v>
      </c>
      <c r="L43" s="8">
        <f t="shared" si="3"/>
        <v>1048.1400000000001</v>
      </c>
    </row>
    <row r="44" spans="1:12" x14ac:dyDescent="0.25">
      <c r="A44" t="s">
        <v>61</v>
      </c>
      <c r="B44" t="s">
        <v>222</v>
      </c>
      <c r="C44" t="s">
        <v>18</v>
      </c>
      <c r="D44" s="2">
        <v>43549</v>
      </c>
      <c r="E44" s="14">
        <v>66606</v>
      </c>
      <c r="F44">
        <v>93</v>
      </c>
      <c r="G44" t="s">
        <v>62</v>
      </c>
      <c r="H44" t="str">
        <f>_xlfn.XLOOKUP(C44,Lookup_Departments!A:A,Lookup_Departments!B:B,"Code not Found")</f>
        <v>Operations</v>
      </c>
      <c r="I44">
        <f t="shared" ca="1" si="2"/>
        <v>7</v>
      </c>
      <c r="J44" t="str">
        <f>_xlfn.XLOOKUP(F44,Lookup_Performance!A:A,Lookup_Performance!C:C, "No Band",-1)</f>
        <v>Exceeding</v>
      </c>
      <c r="K44" s="9">
        <f>_xlfn.XLOOKUP(F44,Lookup_Performance!A:A,Lookup_Performance!D:D,0,-1)</f>
        <v>0.08</v>
      </c>
      <c r="L44" s="8">
        <f t="shared" si="3"/>
        <v>5328.4800000000005</v>
      </c>
    </row>
    <row r="45" spans="1:12" x14ac:dyDescent="0.25">
      <c r="A45" t="s">
        <v>63</v>
      </c>
      <c r="B45" t="s">
        <v>223</v>
      </c>
      <c r="C45" t="s">
        <v>8</v>
      </c>
      <c r="D45" s="2">
        <v>43686</v>
      </c>
      <c r="E45" s="14">
        <v>81896</v>
      </c>
      <c r="F45">
        <v>79</v>
      </c>
      <c r="G45" t="s">
        <v>62</v>
      </c>
      <c r="H45" t="str">
        <f>_xlfn.XLOOKUP(C45,Lookup_Departments!A:A,Lookup_Departments!B:B,"Code not Found")</f>
        <v>Information Technology</v>
      </c>
      <c r="I45">
        <f t="shared" ca="1" si="2"/>
        <v>6</v>
      </c>
      <c r="J45" t="str">
        <f>_xlfn.XLOOKUP(F45,Lookup_Performance!A:A,Lookup_Performance!C:C, "No Band",-1)</f>
        <v>Achieving</v>
      </c>
      <c r="K45" s="9">
        <f>_xlfn.XLOOKUP(F45,Lookup_Performance!A:A,Lookup_Performance!D:D,0,-1)</f>
        <v>0.05</v>
      </c>
      <c r="L45" s="8">
        <f t="shared" si="3"/>
        <v>4094.8</v>
      </c>
    </row>
    <row r="46" spans="1:12" x14ac:dyDescent="0.25">
      <c r="A46" t="s">
        <v>64</v>
      </c>
      <c r="B46" t="s">
        <v>224</v>
      </c>
      <c r="C46" t="s">
        <v>24</v>
      </c>
      <c r="D46" s="2">
        <v>42565</v>
      </c>
      <c r="E46" s="14">
        <v>78402</v>
      </c>
      <c r="F46">
        <v>54</v>
      </c>
      <c r="G46" t="s">
        <v>25</v>
      </c>
      <c r="H46" t="str">
        <f>_xlfn.XLOOKUP(C46,Lookup_Departments!A:A,Lookup_Departments!B:B,"Code not Found")</f>
        <v>Sales</v>
      </c>
      <c r="I46">
        <f t="shared" ca="1" si="2"/>
        <v>9</v>
      </c>
      <c r="J46" t="str">
        <f>_xlfn.XLOOKUP(F46,Lookup_Performance!A:A,Lookup_Performance!C:C, "No Band",-1)</f>
        <v>Developing</v>
      </c>
      <c r="K46" s="9">
        <f>_xlfn.XLOOKUP(F46,Lookup_Performance!A:A,Lookup_Performance!D:D,0,-1)</f>
        <v>0.02</v>
      </c>
      <c r="L46" s="8">
        <f t="shared" si="3"/>
        <v>1568.04</v>
      </c>
    </row>
    <row r="47" spans="1:12" x14ac:dyDescent="0.25">
      <c r="A47" t="s">
        <v>65</v>
      </c>
      <c r="B47" t="s">
        <v>225</v>
      </c>
      <c r="C47" t="s">
        <v>18</v>
      </c>
      <c r="D47" s="2">
        <v>42647</v>
      </c>
      <c r="E47" s="14">
        <v>105498</v>
      </c>
      <c r="F47">
        <v>76</v>
      </c>
      <c r="G47" t="s">
        <v>25</v>
      </c>
      <c r="H47" t="str">
        <f>_xlfn.XLOOKUP(C47,Lookup_Departments!A:A,Lookup_Departments!B:B,"Code not Found")</f>
        <v>Operations</v>
      </c>
      <c r="I47">
        <f t="shared" ca="1" si="2"/>
        <v>9</v>
      </c>
      <c r="J47" t="str">
        <f>_xlfn.XLOOKUP(F47,Lookup_Performance!A:A,Lookup_Performance!C:C, "No Band",-1)</f>
        <v>Achieving</v>
      </c>
      <c r="K47" s="9">
        <f>_xlfn.XLOOKUP(F47,Lookup_Performance!A:A,Lookup_Performance!D:D,0,-1)</f>
        <v>0.05</v>
      </c>
      <c r="L47" s="8">
        <f t="shared" si="3"/>
        <v>5274.9000000000005</v>
      </c>
    </row>
    <row r="48" spans="1:12" x14ac:dyDescent="0.25">
      <c r="A48" t="s">
        <v>66</v>
      </c>
      <c r="B48" t="s">
        <v>226</v>
      </c>
      <c r="C48" t="s">
        <v>10</v>
      </c>
      <c r="D48" s="2">
        <v>43656</v>
      </c>
      <c r="E48" s="14">
        <v>91749</v>
      </c>
      <c r="F48">
        <v>72</v>
      </c>
      <c r="G48" t="s">
        <v>16</v>
      </c>
      <c r="H48" t="str">
        <f>_xlfn.XLOOKUP(C48,Lookup_Departments!A:A,Lookup_Departments!B:B,"Code not Found")</f>
        <v>Marketing</v>
      </c>
      <c r="I48">
        <f t="shared" ca="1" si="2"/>
        <v>6</v>
      </c>
      <c r="J48" t="str">
        <f>_xlfn.XLOOKUP(F48,Lookup_Performance!A:A,Lookup_Performance!C:C, "No Band",-1)</f>
        <v>Achieving</v>
      </c>
      <c r="K48" s="9">
        <f>_xlfn.XLOOKUP(F48,Lookup_Performance!A:A,Lookup_Performance!D:D,0,-1)</f>
        <v>0.05</v>
      </c>
      <c r="L48" s="8">
        <f t="shared" si="3"/>
        <v>4587.45</v>
      </c>
    </row>
    <row r="49" spans="1:12" x14ac:dyDescent="0.25">
      <c r="A49" t="s">
        <v>67</v>
      </c>
      <c r="B49" t="s">
        <v>227</v>
      </c>
      <c r="C49" t="s">
        <v>18</v>
      </c>
      <c r="D49" s="2">
        <v>44437</v>
      </c>
      <c r="E49" s="14">
        <v>99935</v>
      </c>
      <c r="F49">
        <v>84</v>
      </c>
      <c r="G49" t="s">
        <v>62</v>
      </c>
      <c r="H49" t="str">
        <f>_xlfn.XLOOKUP(C49,Lookup_Departments!A:A,Lookup_Departments!B:B,"Code not Found")</f>
        <v>Operations</v>
      </c>
      <c r="I49">
        <f t="shared" ca="1" si="2"/>
        <v>4</v>
      </c>
      <c r="J49" t="str">
        <f>_xlfn.XLOOKUP(F49,Lookup_Performance!A:A,Lookup_Performance!C:C, "No Band",-1)</f>
        <v>Achieving</v>
      </c>
      <c r="K49" s="9">
        <f>_xlfn.XLOOKUP(F49,Lookup_Performance!A:A,Lookup_Performance!D:D,0,-1)</f>
        <v>0.05</v>
      </c>
      <c r="L49" s="8">
        <f t="shared" si="3"/>
        <v>4996.75</v>
      </c>
    </row>
    <row r="50" spans="1:12" x14ac:dyDescent="0.25">
      <c r="A50" t="s">
        <v>68</v>
      </c>
      <c r="B50" t="s">
        <v>228</v>
      </c>
      <c r="C50" t="s">
        <v>8</v>
      </c>
      <c r="D50" s="2">
        <v>42761</v>
      </c>
      <c r="E50" s="14">
        <v>83531</v>
      </c>
      <c r="F50">
        <v>30</v>
      </c>
      <c r="G50" t="s">
        <v>16</v>
      </c>
      <c r="H50" t="str">
        <f>_xlfn.XLOOKUP(C50,Lookup_Departments!A:A,Lookup_Departments!B:B,"Code not Found")</f>
        <v>Information Technology</v>
      </c>
      <c r="I50">
        <f t="shared" ca="1" si="2"/>
        <v>9</v>
      </c>
      <c r="J50" t="str">
        <f>_xlfn.XLOOKUP(F50,Lookup_Performance!A:A,Lookup_Performance!C:C, "No Band",-1)</f>
        <v>Needs Improvement</v>
      </c>
      <c r="K50" s="9">
        <f>_xlfn.XLOOKUP(F50,Lookup_Performance!A:A,Lookup_Performance!D:D,0,-1)</f>
        <v>0</v>
      </c>
      <c r="L50" s="8">
        <f t="shared" si="3"/>
        <v>0</v>
      </c>
    </row>
    <row r="51" spans="1:12" x14ac:dyDescent="0.25">
      <c r="A51" t="s">
        <v>69</v>
      </c>
      <c r="B51" t="s">
        <v>229</v>
      </c>
      <c r="C51" t="s">
        <v>10</v>
      </c>
      <c r="D51" s="2">
        <v>43981</v>
      </c>
      <c r="E51" s="14">
        <v>75023</v>
      </c>
      <c r="F51">
        <v>68</v>
      </c>
      <c r="G51" t="s">
        <v>25</v>
      </c>
      <c r="H51" t="str">
        <f>_xlfn.XLOOKUP(C51,Lookup_Departments!A:A,Lookup_Departments!B:B,"Code not Found")</f>
        <v>Marketing</v>
      </c>
      <c r="I51">
        <f t="shared" ca="1" si="2"/>
        <v>6</v>
      </c>
      <c r="J51" t="str">
        <f>_xlfn.XLOOKUP(F51,Lookup_Performance!A:A,Lookup_Performance!C:C, "No Band",-1)</f>
        <v>Developing</v>
      </c>
      <c r="K51" s="9">
        <f>_xlfn.XLOOKUP(F51,Lookup_Performance!A:A,Lookup_Performance!D:D,0,-1)</f>
        <v>0.02</v>
      </c>
      <c r="L51" s="8">
        <f t="shared" si="3"/>
        <v>1500.46</v>
      </c>
    </row>
    <row r="52" spans="1:12" x14ac:dyDescent="0.25">
      <c r="A52" t="s">
        <v>70</v>
      </c>
      <c r="B52" t="s">
        <v>230</v>
      </c>
      <c r="C52" t="s">
        <v>52</v>
      </c>
      <c r="D52" s="2">
        <v>44612</v>
      </c>
      <c r="E52" s="14">
        <v>93290</v>
      </c>
      <c r="F52">
        <v>53</v>
      </c>
      <c r="G52" t="s">
        <v>25</v>
      </c>
      <c r="H52" t="str">
        <f>_xlfn.XLOOKUP(C52,Lookup_Departments!A:A,Lookup_Departments!B:B,"Code not Found")</f>
        <v>Human Resources</v>
      </c>
      <c r="I52">
        <f t="shared" ca="1" si="2"/>
        <v>4</v>
      </c>
      <c r="J52" t="str">
        <f>_xlfn.XLOOKUP(F52,Lookup_Performance!A:A,Lookup_Performance!C:C, "No Band",-1)</f>
        <v>Developing</v>
      </c>
      <c r="K52" s="9">
        <f>_xlfn.XLOOKUP(F52,Lookup_Performance!A:A,Lookup_Performance!D:D,0,-1)</f>
        <v>0.02</v>
      </c>
      <c r="L52" s="8">
        <f t="shared" si="3"/>
        <v>1865.8</v>
      </c>
    </row>
    <row r="53" spans="1:12" x14ac:dyDescent="0.25">
      <c r="A53" t="s">
        <v>71</v>
      </c>
      <c r="B53" t="s">
        <v>231</v>
      </c>
      <c r="C53" t="s">
        <v>18</v>
      </c>
      <c r="D53" s="2">
        <v>42628</v>
      </c>
      <c r="E53" s="14">
        <v>115527</v>
      </c>
      <c r="F53">
        <v>63</v>
      </c>
      <c r="G53" t="s">
        <v>62</v>
      </c>
      <c r="H53" t="str">
        <f>_xlfn.XLOOKUP(C53,Lookup_Departments!A:A,Lookup_Departments!B:B,"Code not Found")</f>
        <v>Operations</v>
      </c>
      <c r="I53">
        <f t="shared" ca="1" si="2"/>
        <v>9</v>
      </c>
      <c r="J53" t="str">
        <f>_xlfn.XLOOKUP(F53,Lookup_Performance!A:A,Lookup_Performance!C:C, "No Band",-1)</f>
        <v>Developing</v>
      </c>
      <c r="K53" s="9">
        <f>_xlfn.XLOOKUP(F53,Lookup_Performance!A:A,Lookup_Performance!D:D,0,-1)</f>
        <v>0.02</v>
      </c>
      <c r="L53" s="8">
        <f t="shared" si="3"/>
        <v>2310.54</v>
      </c>
    </row>
    <row r="54" spans="1:12" x14ac:dyDescent="0.25">
      <c r="A54" t="s">
        <v>72</v>
      </c>
      <c r="B54" t="s">
        <v>201</v>
      </c>
      <c r="C54" t="s">
        <v>13</v>
      </c>
      <c r="D54" s="2">
        <v>43745</v>
      </c>
      <c r="E54" s="14">
        <v>55920</v>
      </c>
      <c r="F54">
        <v>84</v>
      </c>
      <c r="G54" t="s">
        <v>25</v>
      </c>
      <c r="H54" t="str">
        <f>_xlfn.XLOOKUP(C54,Lookup_Departments!A:A,Lookup_Departments!B:B,"Code not Found")</f>
        <v>Finance</v>
      </c>
      <c r="I54">
        <f t="shared" ca="1" si="2"/>
        <v>6</v>
      </c>
      <c r="J54" t="str">
        <f>_xlfn.XLOOKUP(F54,Lookup_Performance!A:A,Lookup_Performance!C:C, "No Band",-1)</f>
        <v>Achieving</v>
      </c>
      <c r="K54" s="9">
        <f>_xlfn.XLOOKUP(F54,Lookup_Performance!A:A,Lookup_Performance!D:D,0,-1)</f>
        <v>0.05</v>
      </c>
      <c r="L54" s="8">
        <f t="shared" si="3"/>
        <v>2796</v>
      </c>
    </row>
    <row r="55" spans="1:12" x14ac:dyDescent="0.25">
      <c r="A55" t="s">
        <v>73</v>
      </c>
      <c r="B55" t="s">
        <v>192</v>
      </c>
      <c r="C55" t="s">
        <v>24</v>
      </c>
      <c r="D55" s="2">
        <v>43464</v>
      </c>
      <c r="E55" s="14">
        <v>80189</v>
      </c>
      <c r="F55">
        <v>30</v>
      </c>
      <c r="G55" t="s">
        <v>25</v>
      </c>
      <c r="H55" t="str">
        <f>_xlfn.XLOOKUP(C55,Lookup_Departments!A:A,Lookup_Departments!B:B,"Code not Found")</f>
        <v>Sales</v>
      </c>
      <c r="I55">
        <f t="shared" ca="1" si="2"/>
        <v>7</v>
      </c>
      <c r="J55" t="str">
        <f>_xlfn.XLOOKUP(F55,Lookup_Performance!A:A,Lookup_Performance!C:C, "No Band",-1)</f>
        <v>Needs Improvement</v>
      </c>
      <c r="K55" s="9">
        <f>_xlfn.XLOOKUP(F55,Lookup_Performance!A:A,Lookup_Performance!D:D,0,-1)</f>
        <v>0</v>
      </c>
      <c r="L55" s="8">
        <f t="shared" si="3"/>
        <v>0</v>
      </c>
    </row>
    <row r="56" spans="1:12" x14ac:dyDescent="0.25">
      <c r="A56" t="s">
        <v>74</v>
      </c>
      <c r="B56" t="s">
        <v>232</v>
      </c>
      <c r="C56" t="s">
        <v>52</v>
      </c>
      <c r="D56" s="2">
        <v>44189</v>
      </c>
      <c r="E56" s="14">
        <v>118947</v>
      </c>
      <c r="F56">
        <v>96</v>
      </c>
      <c r="G56" t="s">
        <v>25</v>
      </c>
      <c r="H56" t="str">
        <f>_xlfn.XLOOKUP(C56,Lookup_Departments!A:A,Lookup_Departments!B:B,"Code not Found")</f>
        <v>Human Resources</v>
      </c>
      <c r="I56">
        <f t="shared" ca="1" si="2"/>
        <v>5</v>
      </c>
      <c r="J56" t="str">
        <f>_xlfn.XLOOKUP(F56,Lookup_Performance!A:A,Lookup_Performance!C:C, "No Band",-1)</f>
        <v>Outstanding</v>
      </c>
      <c r="K56" s="9">
        <f>_xlfn.XLOOKUP(F56,Lookup_Performance!A:A,Lookup_Performance!D:D,0,-1)</f>
        <v>0.12</v>
      </c>
      <c r="L56" s="8">
        <f t="shared" si="3"/>
        <v>14273.64</v>
      </c>
    </row>
    <row r="57" spans="1:12" x14ac:dyDescent="0.25">
      <c r="A57" t="s">
        <v>75</v>
      </c>
      <c r="B57" t="s">
        <v>233</v>
      </c>
      <c r="C57" t="s">
        <v>8</v>
      </c>
      <c r="D57" s="2">
        <v>45112</v>
      </c>
      <c r="E57" s="14">
        <v>83604</v>
      </c>
      <c r="F57">
        <v>54</v>
      </c>
      <c r="G57" t="s">
        <v>25</v>
      </c>
      <c r="H57" t="str">
        <f>_xlfn.XLOOKUP(C57,Lookup_Departments!A:A,Lookup_Departments!B:B,"Code not Found")</f>
        <v>Information Technology</v>
      </c>
      <c r="I57">
        <f t="shared" ca="1" si="2"/>
        <v>2</v>
      </c>
      <c r="J57" t="str">
        <f>_xlfn.XLOOKUP(F57,Lookup_Performance!A:A,Lookup_Performance!C:C, "No Band",-1)</f>
        <v>Developing</v>
      </c>
      <c r="K57" s="9">
        <f>_xlfn.XLOOKUP(F57,Lookup_Performance!A:A,Lookup_Performance!D:D,0,-1)</f>
        <v>0.02</v>
      </c>
      <c r="L57" s="8">
        <f t="shared" si="3"/>
        <v>1672.08</v>
      </c>
    </row>
    <row r="58" spans="1:12" x14ac:dyDescent="0.25">
      <c r="A58" t="s">
        <v>76</v>
      </c>
      <c r="B58" t="s">
        <v>234</v>
      </c>
      <c r="C58" t="s">
        <v>18</v>
      </c>
      <c r="D58" s="2">
        <v>44148</v>
      </c>
      <c r="E58" s="14">
        <v>83604</v>
      </c>
      <c r="F58">
        <v>75</v>
      </c>
      <c r="G58" t="s">
        <v>25</v>
      </c>
      <c r="H58" t="str">
        <f>_xlfn.XLOOKUP(C58,Lookup_Departments!A:A,Lookup_Departments!B:B,"Code not Found")</f>
        <v>Operations</v>
      </c>
      <c r="I58">
        <f t="shared" ca="1" si="2"/>
        <v>5</v>
      </c>
      <c r="J58" t="str">
        <f>_xlfn.XLOOKUP(F58,Lookup_Performance!A:A,Lookup_Performance!C:C, "No Band",-1)</f>
        <v>Achieving</v>
      </c>
      <c r="K58" s="9">
        <f>_xlfn.XLOOKUP(F58,Lookup_Performance!A:A,Lookup_Performance!D:D,0,-1)</f>
        <v>0.05</v>
      </c>
      <c r="L58" s="8">
        <f t="shared" si="3"/>
        <v>4180.2</v>
      </c>
    </row>
    <row r="59" spans="1:12" x14ac:dyDescent="0.25">
      <c r="A59" t="s">
        <v>77</v>
      </c>
      <c r="B59" t="s">
        <v>235</v>
      </c>
      <c r="C59" t="s">
        <v>52</v>
      </c>
      <c r="D59" s="2">
        <v>43138</v>
      </c>
      <c r="E59" s="14">
        <v>91655</v>
      </c>
      <c r="F59">
        <v>95</v>
      </c>
      <c r="G59" t="s">
        <v>25</v>
      </c>
      <c r="H59" t="str">
        <f>_xlfn.XLOOKUP(C59,Lookup_Departments!A:A,Lookup_Departments!B:B,"Code not Found")</f>
        <v>Human Resources</v>
      </c>
      <c r="I59">
        <f t="shared" ca="1" si="2"/>
        <v>8</v>
      </c>
      <c r="J59" t="str">
        <f>_xlfn.XLOOKUP(F59,Lookup_Performance!A:A,Lookup_Performance!C:C, "No Band",-1)</f>
        <v>Outstanding</v>
      </c>
      <c r="K59" s="9">
        <f>_xlfn.XLOOKUP(F59,Lookup_Performance!A:A,Lookup_Performance!D:D,0,-1)</f>
        <v>0.12</v>
      </c>
      <c r="L59" s="8">
        <f t="shared" si="3"/>
        <v>10998.6</v>
      </c>
    </row>
    <row r="60" spans="1:12" x14ac:dyDescent="0.25">
      <c r="A60" t="s">
        <v>78</v>
      </c>
      <c r="B60" t="s">
        <v>187</v>
      </c>
      <c r="C60" t="s">
        <v>8</v>
      </c>
      <c r="D60" s="2">
        <v>45255</v>
      </c>
      <c r="E60" s="14">
        <v>49435</v>
      </c>
      <c r="F60">
        <v>68</v>
      </c>
      <c r="G60" t="s">
        <v>16</v>
      </c>
      <c r="H60" t="str">
        <f>_xlfn.XLOOKUP(C60,Lookup_Departments!A:A,Lookup_Departments!B:B,"Code not Found")</f>
        <v>Information Technology</v>
      </c>
      <c r="I60">
        <f t="shared" ca="1" si="2"/>
        <v>2</v>
      </c>
      <c r="J60" t="str">
        <f>_xlfn.XLOOKUP(F60,Lookup_Performance!A:A,Lookup_Performance!C:C, "No Band",-1)</f>
        <v>Developing</v>
      </c>
      <c r="K60" s="9">
        <f>_xlfn.XLOOKUP(F60,Lookup_Performance!A:A,Lookup_Performance!D:D,0,-1)</f>
        <v>0.02</v>
      </c>
      <c r="L60" s="8">
        <f t="shared" si="3"/>
        <v>988.7</v>
      </c>
    </row>
    <row r="61" spans="1:12" x14ac:dyDescent="0.25">
      <c r="A61" t="s">
        <v>79</v>
      </c>
      <c r="B61" t="s">
        <v>220</v>
      </c>
      <c r="C61" t="s">
        <v>24</v>
      </c>
      <c r="D61" s="2">
        <v>45217</v>
      </c>
      <c r="E61" s="14">
        <v>110381</v>
      </c>
      <c r="F61">
        <v>93</v>
      </c>
      <c r="G61" t="s">
        <v>25</v>
      </c>
      <c r="H61" t="str">
        <f>_xlfn.XLOOKUP(C61,Lookup_Departments!A:A,Lookup_Departments!B:B,"Code not Found")</f>
        <v>Sales</v>
      </c>
      <c r="I61">
        <f t="shared" ca="1" si="2"/>
        <v>2</v>
      </c>
      <c r="J61" t="str">
        <f>_xlfn.XLOOKUP(F61,Lookup_Performance!A:A,Lookup_Performance!C:C, "No Band",-1)</f>
        <v>Exceeding</v>
      </c>
      <c r="K61" s="9">
        <f>_xlfn.XLOOKUP(F61,Lookup_Performance!A:A,Lookup_Performance!D:D,0,-1)</f>
        <v>0.08</v>
      </c>
      <c r="L61" s="8">
        <f t="shared" si="3"/>
        <v>8830.48</v>
      </c>
    </row>
    <row r="62" spans="1:12" x14ac:dyDescent="0.25">
      <c r="A62" t="s">
        <v>80</v>
      </c>
      <c r="B62" t="s">
        <v>236</v>
      </c>
      <c r="C62" t="s">
        <v>52</v>
      </c>
      <c r="D62" s="2">
        <v>44079</v>
      </c>
      <c r="E62" s="14">
        <v>114748</v>
      </c>
      <c r="F62">
        <v>33</v>
      </c>
      <c r="G62" t="s">
        <v>25</v>
      </c>
      <c r="H62" t="str">
        <f>_xlfn.XLOOKUP(C62,Lookup_Departments!A:A,Lookup_Departments!B:B,"Code not Found")</f>
        <v>Human Resources</v>
      </c>
      <c r="I62">
        <f t="shared" ca="1" si="2"/>
        <v>5</v>
      </c>
      <c r="J62" t="str">
        <f>_xlfn.XLOOKUP(F62,Lookup_Performance!A:A,Lookup_Performance!C:C, "No Band",-1)</f>
        <v>Needs Improvement</v>
      </c>
      <c r="K62" s="9">
        <f>_xlfn.XLOOKUP(F62,Lookup_Performance!A:A,Lookup_Performance!D:D,0,-1)</f>
        <v>0</v>
      </c>
      <c r="L62" s="8">
        <f t="shared" si="3"/>
        <v>0</v>
      </c>
    </row>
    <row r="63" spans="1:12" x14ac:dyDescent="0.25">
      <c r="A63" t="s">
        <v>81</v>
      </c>
      <c r="B63" t="s">
        <v>237</v>
      </c>
      <c r="C63" t="s">
        <v>18</v>
      </c>
      <c r="D63" s="2">
        <v>42800</v>
      </c>
      <c r="E63" s="14">
        <v>63302</v>
      </c>
      <c r="F63">
        <v>91</v>
      </c>
      <c r="G63" t="s">
        <v>25</v>
      </c>
      <c r="H63" t="str">
        <f>_xlfn.XLOOKUP(C63,Lookup_Departments!A:A,Lookup_Departments!B:B,"Code not Found")</f>
        <v>Operations</v>
      </c>
      <c r="I63">
        <f t="shared" ca="1" si="2"/>
        <v>9</v>
      </c>
      <c r="J63" t="str">
        <f>_xlfn.XLOOKUP(F63,Lookup_Performance!A:A,Lookup_Performance!C:C, "No Band",-1)</f>
        <v>Exceeding</v>
      </c>
      <c r="K63" s="9">
        <f>_xlfn.XLOOKUP(F63,Lookup_Performance!A:A,Lookup_Performance!D:D,0,-1)</f>
        <v>0.08</v>
      </c>
      <c r="L63" s="8">
        <f t="shared" si="3"/>
        <v>5064.16</v>
      </c>
    </row>
    <row r="64" spans="1:12" x14ac:dyDescent="0.25">
      <c r="A64" t="s">
        <v>82</v>
      </c>
      <c r="B64" t="s">
        <v>238</v>
      </c>
      <c r="C64" t="s">
        <v>8</v>
      </c>
      <c r="D64" s="2">
        <v>42122</v>
      </c>
      <c r="E64" s="14">
        <v>75519</v>
      </c>
      <c r="F64">
        <v>64</v>
      </c>
      <c r="G64" t="s">
        <v>25</v>
      </c>
      <c r="H64" t="str">
        <f>_xlfn.XLOOKUP(C64,Lookup_Departments!A:A,Lookup_Departments!B:B,"Code not Found")</f>
        <v>Information Technology</v>
      </c>
      <c r="I64">
        <f t="shared" ca="1" si="2"/>
        <v>11</v>
      </c>
      <c r="J64" t="str">
        <f>_xlfn.XLOOKUP(F64,Lookup_Performance!A:A,Lookup_Performance!C:C, "No Band",-1)</f>
        <v>Developing</v>
      </c>
      <c r="K64" s="9">
        <f>_xlfn.XLOOKUP(F64,Lookup_Performance!A:A,Lookup_Performance!D:D,0,-1)</f>
        <v>0.02</v>
      </c>
      <c r="L64" s="8">
        <f t="shared" si="3"/>
        <v>1510.38</v>
      </c>
    </row>
    <row r="65" spans="1:12" x14ac:dyDescent="0.25">
      <c r="A65" t="s">
        <v>83</v>
      </c>
      <c r="B65" t="s">
        <v>230</v>
      </c>
      <c r="C65" t="s">
        <v>13</v>
      </c>
      <c r="D65" s="2">
        <v>42838</v>
      </c>
      <c r="E65" s="14">
        <v>103891</v>
      </c>
      <c r="F65">
        <v>80</v>
      </c>
      <c r="G65" t="s">
        <v>25</v>
      </c>
      <c r="H65" t="str">
        <f>_xlfn.XLOOKUP(C65,Lookup_Departments!A:A,Lookup_Departments!B:B,"Code not Found")</f>
        <v>Finance</v>
      </c>
      <c r="I65">
        <f t="shared" ca="1" si="2"/>
        <v>9</v>
      </c>
      <c r="J65" t="str">
        <f>_xlfn.XLOOKUP(F65,Lookup_Performance!A:A,Lookup_Performance!C:C, "No Band",-1)</f>
        <v>Achieving</v>
      </c>
      <c r="K65" s="9">
        <f>_xlfn.XLOOKUP(F65,Lookup_Performance!A:A,Lookup_Performance!D:D,0,-1)</f>
        <v>0.05</v>
      </c>
      <c r="L65" s="8">
        <f t="shared" si="3"/>
        <v>5194.55</v>
      </c>
    </row>
    <row r="66" spans="1:12" x14ac:dyDescent="0.25">
      <c r="A66" t="s">
        <v>84</v>
      </c>
      <c r="B66" t="s">
        <v>239</v>
      </c>
      <c r="C66" t="s">
        <v>18</v>
      </c>
      <c r="D66" s="2">
        <v>44827</v>
      </c>
      <c r="E66" s="14">
        <v>83604</v>
      </c>
      <c r="F66">
        <v>46</v>
      </c>
      <c r="G66" t="s">
        <v>16</v>
      </c>
      <c r="H66" t="str">
        <f>_xlfn.XLOOKUP(C66,Lookup_Departments!A:A,Lookup_Departments!B:B,"Code not Found")</f>
        <v>Operations</v>
      </c>
      <c r="I66">
        <f t="shared" ref="I66:I97" ca="1" si="4">DATEDIF(D66,TODAY(),"Y")</f>
        <v>3</v>
      </c>
      <c r="J66" t="str">
        <f>_xlfn.XLOOKUP(F66,Lookup_Performance!A:A,Lookup_Performance!C:C, "No Band",-1)</f>
        <v>Needs Improvement</v>
      </c>
      <c r="K66" s="9">
        <f>_xlfn.XLOOKUP(F66,Lookup_Performance!A:A,Lookup_Performance!D:D,0,-1)</f>
        <v>0</v>
      </c>
      <c r="L66" s="8">
        <f t="shared" ref="L66:L97" si="5">E66*K66</f>
        <v>0</v>
      </c>
    </row>
    <row r="67" spans="1:12" x14ac:dyDescent="0.25">
      <c r="A67" t="s">
        <v>85</v>
      </c>
      <c r="B67" t="s">
        <v>240</v>
      </c>
      <c r="C67" t="s">
        <v>10</v>
      </c>
      <c r="D67" s="2">
        <v>42685</v>
      </c>
      <c r="E67" s="14">
        <v>50936</v>
      </c>
      <c r="F67">
        <v>99</v>
      </c>
      <c r="G67" t="s">
        <v>25</v>
      </c>
      <c r="H67" t="str">
        <f>_xlfn.XLOOKUP(C67,Lookup_Departments!A:A,Lookup_Departments!B:B,"Code not Found")</f>
        <v>Marketing</v>
      </c>
      <c r="I67">
        <f t="shared" ca="1" si="4"/>
        <v>9</v>
      </c>
      <c r="J67" t="str">
        <f>_xlfn.XLOOKUP(F67,Lookup_Performance!A:A,Lookup_Performance!C:C, "No Band",-1)</f>
        <v>Outstanding</v>
      </c>
      <c r="K67" s="9">
        <f>_xlfn.XLOOKUP(F67,Lookup_Performance!A:A,Lookup_Performance!D:D,0,-1)</f>
        <v>0.12</v>
      </c>
      <c r="L67" s="8">
        <f t="shared" si="5"/>
        <v>6112.32</v>
      </c>
    </row>
    <row r="68" spans="1:12" x14ac:dyDescent="0.25">
      <c r="A68" t="s">
        <v>86</v>
      </c>
      <c r="B68" t="s">
        <v>241</v>
      </c>
      <c r="C68" t="s">
        <v>24</v>
      </c>
      <c r="D68" s="2">
        <v>42818</v>
      </c>
      <c r="E68" s="14">
        <v>111240</v>
      </c>
      <c r="F68">
        <v>68</v>
      </c>
      <c r="G68" t="s">
        <v>25</v>
      </c>
      <c r="H68" t="str">
        <f>_xlfn.XLOOKUP(C68,Lookup_Departments!A:A,Lookup_Departments!B:B,"Code not Found")</f>
        <v>Sales</v>
      </c>
      <c r="I68">
        <f t="shared" ca="1" si="4"/>
        <v>9</v>
      </c>
      <c r="J68" t="str">
        <f>_xlfn.XLOOKUP(F68,Lookup_Performance!A:A,Lookup_Performance!C:C, "No Band",-1)</f>
        <v>Developing</v>
      </c>
      <c r="K68" s="9">
        <f>_xlfn.XLOOKUP(F68,Lookup_Performance!A:A,Lookup_Performance!D:D,0,-1)</f>
        <v>0.02</v>
      </c>
      <c r="L68" s="8">
        <f t="shared" si="5"/>
        <v>2224.8000000000002</v>
      </c>
    </row>
    <row r="69" spans="1:12" x14ac:dyDescent="0.25">
      <c r="A69" t="s">
        <v>87</v>
      </c>
      <c r="B69" t="s">
        <v>242</v>
      </c>
      <c r="C69" t="s">
        <v>52</v>
      </c>
      <c r="D69" s="2">
        <v>43590</v>
      </c>
      <c r="E69" s="14">
        <v>51567</v>
      </c>
      <c r="F69">
        <v>87</v>
      </c>
      <c r="G69" t="s">
        <v>62</v>
      </c>
      <c r="H69" t="str">
        <f>_xlfn.XLOOKUP(C69,Lookup_Departments!A:A,Lookup_Departments!B:B,"Code not Found")</f>
        <v>Human Resources</v>
      </c>
      <c r="I69">
        <f t="shared" ca="1" si="4"/>
        <v>7</v>
      </c>
      <c r="J69" t="str">
        <f>_xlfn.XLOOKUP(F69,Lookup_Performance!A:A,Lookup_Performance!C:C, "No Band",-1)</f>
        <v>Exceeding</v>
      </c>
      <c r="K69" s="9">
        <f>_xlfn.XLOOKUP(F69,Lookup_Performance!A:A,Lookup_Performance!D:D,0,-1)</f>
        <v>0.08</v>
      </c>
      <c r="L69" s="8">
        <f t="shared" si="5"/>
        <v>4125.3599999999997</v>
      </c>
    </row>
    <row r="70" spans="1:12" x14ac:dyDescent="0.25">
      <c r="A70" t="s">
        <v>88</v>
      </c>
      <c r="B70" t="s">
        <v>243</v>
      </c>
      <c r="C70" t="s">
        <v>52</v>
      </c>
      <c r="D70" s="2">
        <v>44402</v>
      </c>
      <c r="E70" s="14">
        <v>83604</v>
      </c>
      <c r="F70">
        <v>36</v>
      </c>
      <c r="G70" t="s">
        <v>25</v>
      </c>
      <c r="H70" t="str">
        <f>_xlfn.XLOOKUP(C70,Lookup_Departments!A:A,Lookup_Departments!B:B,"Code not Found")</f>
        <v>Human Resources</v>
      </c>
      <c r="I70">
        <f t="shared" ca="1" si="4"/>
        <v>4</v>
      </c>
      <c r="J70" t="str">
        <f>_xlfn.XLOOKUP(F70,Lookup_Performance!A:A,Lookup_Performance!C:C, "No Band",-1)</f>
        <v>Needs Improvement</v>
      </c>
      <c r="K70" s="9">
        <f>_xlfn.XLOOKUP(F70,Lookup_Performance!A:A,Lookup_Performance!D:D,0,-1)</f>
        <v>0</v>
      </c>
      <c r="L70" s="8">
        <f t="shared" si="5"/>
        <v>0</v>
      </c>
    </row>
    <row r="71" spans="1:12" x14ac:dyDescent="0.25">
      <c r="A71" t="s">
        <v>89</v>
      </c>
      <c r="B71" t="s">
        <v>238</v>
      </c>
      <c r="C71" t="s">
        <v>52</v>
      </c>
      <c r="D71" s="2">
        <v>43008</v>
      </c>
      <c r="E71" s="14">
        <v>55270</v>
      </c>
      <c r="F71">
        <v>87</v>
      </c>
      <c r="G71" t="s">
        <v>25</v>
      </c>
      <c r="H71" t="str">
        <f>_xlfn.XLOOKUP(C71,Lookup_Departments!A:A,Lookup_Departments!B:B,"Code not Found")</f>
        <v>Human Resources</v>
      </c>
      <c r="I71">
        <f t="shared" ca="1" si="4"/>
        <v>8</v>
      </c>
      <c r="J71" t="str">
        <f>_xlfn.XLOOKUP(F71,Lookup_Performance!A:A,Lookup_Performance!C:C, "No Band",-1)</f>
        <v>Exceeding</v>
      </c>
      <c r="K71" s="9">
        <f>_xlfn.XLOOKUP(F71,Lookup_Performance!A:A,Lookup_Performance!D:D,0,-1)</f>
        <v>0.08</v>
      </c>
      <c r="L71" s="8">
        <f t="shared" si="5"/>
        <v>4421.6000000000004</v>
      </c>
    </row>
    <row r="72" spans="1:12" x14ac:dyDescent="0.25">
      <c r="A72" t="s">
        <v>90</v>
      </c>
      <c r="B72" t="s">
        <v>244</v>
      </c>
      <c r="C72" t="s">
        <v>24</v>
      </c>
      <c r="D72" s="2">
        <v>42192</v>
      </c>
      <c r="E72" s="14">
        <v>65235</v>
      </c>
      <c r="F72">
        <v>97</v>
      </c>
      <c r="G72" t="s">
        <v>25</v>
      </c>
      <c r="H72" t="str">
        <f>_xlfn.XLOOKUP(C72,Lookup_Departments!A:A,Lookup_Departments!B:B,"Code not Found")</f>
        <v>Sales</v>
      </c>
      <c r="I72">
        <f t="shared" ca="1" si="4"/>
        <v>10</v>
      </c>
      <c r="J72" t="str">
        <f>_xlfn.XLOOKUP(F72,Lookup_Performance!A:A,Lookup_Performance!C:C, "No Band",-1)</f>
        <v>Outstanding</v>
      </c>
      <c r="K72" s="9">
        <f>_xlfn.XLOOKUP(F72,Lookup_Performance!A:A,Lookup_Performance!D:D,0,-1)</f>
        <v>0.12</v>
      </c>
      <c r="L72" s="8">
        <f t="shared" si="5"/>
        <v>7828.2</v>
      </c>
    </row>
    <row r="73" spans="1:12" x14ac:dyDescent="0.25">
      <c r="A73" t="s">
        <v>91</v>
      </c>
      <c r="B73" t="s">
        <v>245</v>
      </c>
      <c r="C73" t="s">
        <v>24</v>
      </c>
      <c r="D73" s="2">
        <v>43283</v>
      </c>
      <c r="E73" s="14">
        <v>83604</v>
      </c>
      <c r="F73">
        <v>72</v>
      </c>
      <c r="G73" t="s">
        <v>16</v>
      </c>
      <c r="H73" t="str">
        <f>_xlfn.XLOOKUP(C73,Lookup_Departments!A:A,Lookup_Departments!B:B,"Code not Found")</f>
        <v>Sales</v>
      </c>
      <c r="I73">
        <f t="shared" ca="1" si="4"/>
        <v>8</v>
      </c>
      <c r="J73" t="str">
        <f>_xlfn.XLOOKUP(F73,Lookup_Performance!A:A,Lookup_Performance!C:C, "No Band",-1)</f>
        <v>Achieving</v>
      </c>
      <c r="K73" s="9">
        <f>_xlfn.XLOOKUP(F73,Lookup_Performance!A:A,Lookup_Performance!D:D,0,-1)</f>
        <v>0.05</v>
      </c>
      <c r="L73" s="8">
        <f t="shared" si="5"/>
        <v>4180.2</v>
      </c>
    </row>
    <row r="74" spans="1:12" x14ac:dyDescent="0.25">
      <c r="A74" t="s">
        <v>92</v>
      </c>
      <c r="B74" t="s">
        <v>246</v>
      </c>
      <c r="C74" t="s">
        <v>24</v>
      </c>
      <c r="D74" s="2">
        <v>44819</v>
      </c>
      <c r="E74" s="14">
        <v>83604</v>
      </c>
      <c r="F74">
        <v>65</v>
      </c>
      <c r="G74" t="s">
        <v>16</v>
      </c>
      <c r="H74" t="str">
        <f>_xlfn.XLOOKUP(C74,Lookup_Departments!A:A,Lookup_Departments!B:B,"Code not Found")</f>
        <v>Sales</v>
      </c>
      <c r="I74">
        <f t="shared" ca="1" si="4"/>
        <v>3</v>
      </c>
      <c r="J74" t="str">
        <f>_xlfn.XLOOKUP(F74,Lookup_Performance!A:A,Lookup_Performance!C:C, "No Band",-1)</f>
        <v>Developing</v>
      </c>
      <c r="K74" s="9">
        <f>_xlfn.XLOOKUP(F74,Lookup_Performance!A:A,Lookup_Performance!D:D,0,-1)</f>
        <v>0.02</v>
      </c>
      <c r="L74" s="8">
        <f t="shared" si="5"/>
        <v>1672.08</v>
      </c>
    </row>
    <row r="75" spans="1:12" x14ac:dyDescent="0.25">
      <c r="A75" t="s">
        <v>93</v>
      </c>
      <c r="B75" t="s">
        <v>247</v>
      </c>
      <c r="C75" t="s">
        <v>24</v>
      </c>
      <c r="D75" s="2">
        <v>42249</v>
      </c>
      <c r="E75" s="14">
        <v>83604</v>
      </c>
      <c r="F75">
        <v>67</v>
      </c>
      <c r="G75" t="s">
        <v>25</v>
      </c>
      <c r="H75" t="str">
        <f>_xlfn.XLOOKUP(C75,Lookup_Departments!A:A,Lookup_Departments!B:B,"Code not Found")</f>
        <v>Sales</v>
      </c>
      <c r="I75">
        <f t="shared" ca="1" si="4"/>
        <v>10</v>
      </c>
      <c r="J75" t="str">
        <f>_xlfn.XLOOKUP(F75,Lookup_Performance!A:A,Lookup_Performance!C:C, "No Band",-1)</f>
        <v>Developing</v>
      </c>
      <c r="K75" s="9">
        <f>_xlfn.XLOOKUP(F75,Lookup_Performance!A:A,Lookup_Performance!D:D,0,-1)</f>
        <v>0.02</v>
      </c>
      <c r="L75" s="8">
        <f t="shared" si="5"/>
        <v>1672.08</v>
      </c>
    </row>
    <row r="76" spans="1:12" x14ac:dyDescent="0.25">
      <c r="A76" t="s">
        <v>94</v>
      </c>
      <c r="B76" t="s">
        <v>248</v>
      </c>
      <c r="C76" t="s">
        <v>18</v>
      </c>
      <c r="D76" s="2">
        <v>42654</v>
      </c>
      <c r="E76" s="14">
        <v>48823</v>
      </c>
      <c r="F76">
        <v>34</v>
      </c>
      <c r="G76" t="s">
        <v>25</v>
      </c>
      <c r="H76" t="str">
        <f>_xlfn.XLOOKUP(C76,Lookup_Departments!A:A,Lookup_Departments!B:B,"Code not Found")</f>
        <v>Operations</v>
      </c>
      <c r="I76">
        <f t="shared" ca="1" si="4"/>
        <v>9</v>
      </c>
      <c r="J76" t="str">
        <f>_xlfn.XLOOKUP(F76,Lookup_Performance!A:A,Lookup_Performance!C:C, "No Band",-1)</f>
        <v>Needs Improvement</v>
      </c>
      <c r="K76" s="9">
        <f>_xlfn.XLOOKUP(F76,Lookup_Performance!A:A,Lookup_Performance!D:D,0,-1)</f>
        <v>0</v>
      </c>
      <c r="L76" s="8">
        <f t="shared" si="5"/>
        <v>0</v>
      </c>
    </row>
    <row r="77" spans="1:12" x14ac:dyDescent="0.25">
      <c r="A77" t="s">
        <v>95</v>
      </c>
      <c r="B77" t="s">
        <v>247</v>
      </c>
      <c r="C77" t="s">
        <v>13</v>
      </c>
      <c r="D77" s="2">
        <v>43575</v>
      </c>
      <c r="E77" s="14">
        <v>45196</v>
      </c>
      <c r="F77">
        <v>78</v>
      </c>
      <c r="G77" t="s">
        <v>16</v>
      </c>
      <c r="H77" t="str">
        <f>_xlfn.XLOOKUP(C77,Lookup_Departments!A:A,Lookup_Departments!B:B,"Code not Found")</f>
        <v>Finance</v>
      </c>
      <c r="I77">
        <f t="shared" ca="1" si="4"/>
        <v>7</v>
      </c>
      <c r="J77" t="str">
        <f>_xlfn.XLOOKUP(F77,Lookup_Performance!A:A,Lookup_Performance!C:C, "No Band",-1)</f>
        <v>Achieving</v>
      </c>
      <c r="K77" s="9">
        <f>_xlfn.XLOOKUP(F77,Lookup_Performance!A:A,Lookup_Performance!D:D,0,-1)</f>
        <v>0.05</v>
      </c>
      <c r="L77" s="8">
        <f t="shared" si="5"/>
        <v>2259.8000000000002</v>
      </c>
    </row>
    <row r="78" spans="1:12" x14ac:dyDescent="0.25">
      <c r="A78" t="s">
        <v>96</v>
      </c>
      <c r="B78" t="s">
        <v>249</v>
      </c>
      <c r="C78" t="s">
        <v>8</v>
      </c>
      <c r="D78" s="2">
        <v>42785</v>
      </c>
      <c r="E78" s="14">
        <v>86246</v>
      </c>
      <c r="F78">
        <v>61</v>
      </c>
      <c r="G78" t="s">
        <v>25</v>
      </c>
      <c r="H78" t="str">
        <f>_xlfn.XLOOKUP(C78,Lookup_Departments!A:A,Lookup_Departments!B:B,"Code not Found")</f>
        <v>Information Technology</v>
      </c>
      <c r="I78">
        <f t="shared" ca="1" si="4"/>
        <v>9</v>
      </c>
      <c r="J78" t="str">
        <f>_xlfn.XLOOKUP(F78,Lookup_Performance!A:A,Lookup_Performance!C:C, "No Band",-1)</f>
        <v>Developing</v>
      </c>
      <c r="K78" s="9">
        <f>_xlfn.XLOOKUP(F78,Lookup_Performance!A:A,Lookup_Performance!D:D,0,-1)</f>
        <v>0.02</v>
      </c>
      <c r="L78" s="8">
        <f t="shared" si="5"/>
        <v>1724.92</v>
      </c>
    </row>
    <row r="79" spans="1:12" x14ac:dyDescent="0.25">
      <c r="A79" t="s">
        <v>97</v>
      </c>
      <c r="B79" t="s">
        <v>196</v>
      </c>
      <c r="C79" t="s">
        <v>24</v>
      </c>
      <c r="D79" s="2">
        <v>44446</v>
      </c>
      <c r="E79" s="14">
        <v>70359</v>
      </c>
      <c r="F79">
        <v>74</v>
      </c>
      <c r="G79" t="s">
        <v>16</v>
      </c>
      <c r="H79" t="str">
        <f>_xlfn.XLOOKUP(C79,Lookup_Departments!A:A,Lookup_Departments!B:B,"Code not Found")</f>
        <v>Sales</v>
      </c>
      <c r="I79">
        <f t="shared" ca="1" si="4"/>
        <v>4</v>
      </c>
      <c r="J79" t="str">
        <f>_xlfn.XLOOKUP(F79,Lookup_Performance!A:A,Lookup_Performance!C:C, "No Band",-1)</f>
        <v>Achieving</v>
      </c>
      <c r="K79" s="9">
        <f>_xlfn.XLOOKUP(F79,Lookup_Performance!A:A,Lookup_Performance!D:D,0,-1)</f>
        <v>0.05</v>
      </c>
      <c r="L79" s="8">
        <f t="shared" si="5"/>
        <v>3517.9500000000003</v>
      </c>
    </row>
    <row r="80" spans="1:12" x14ac:dyDescent="0.25">
      <c r="A80" t="s">
        <v>98</v>
      </c>
      <c r="B80" t="s">
        <v>219</v>
      </c>
      <c r="C80" t="s">
        <v>10</v>
      </c>
      <c r="D80" s="2">
        <v>43599</v>
      </c>
      <c r="E80" s="14">
        <v>83604</v>
      </c>
      <c r="F80">
        <v>94</v>
      </c>
      <c r="G80" t="s">
        <v>25</v>
      </c>
      <c r="H80" t="str">
        <f>_xlfn.XLOOKUP(C80,Lookup_Departments!A:A,Lookup_Departments!B:B,"Code not Found")</f>
        <v>Marketing</v>
      </c>
      <c r="I80">
        <f t="shared" ca="1" si="4"/>
        <v>7</v>
      </c>
      <c r="J80" t="str">
        <f>_xlfn.XLOOKUP(F80,Lookup_Performance!A:A,Lookup_Performance!C:C, "No Band",-1)</f>
        <v>Exceeding</v>
      </c>
      <c r="K80" s="9">
        <f>_xlfn.XLOOKUP(F80,Lookup_Performance!A:A,Lookup_Performance!D:D,0,-1)</f>
        <v>0.08</v>
      </c>
      <c r="L80" s="8">
        <f t="shared" si="5"/>
        <v>6688.32</v>
      </c>
    </row>
    <row r="81" spans="1:12" x14ac:dyDescent="0.25">
      <c r="A81" t="s">
        <v>99</v>
      </c>
      <c r="B81" t="s">
        <v>250</v>
      </c>
      <c r="C81" t="s">
        <v>18</v>
      </c>
      <c r="D81" s="2">
        <v>42330</v>
      </c>
      <c r="E81" s="14">
        <v>86480</v>
      </c>
      <c r="F81">
        <v>68</v>
      </c>
      <c r="G81" t="s">
        <v>25</v>
      </c>
      <c r="H81" t="str">
        <f>_xlfn.XLOOKUP(C81,Lookup_Departments!A:A,Lookup_Departments!B:B,"Code not Found")</f>
        <v>Operations</v>
      </c>
      <c r="I81">
        <f t="shared" ca="1" si="4"/>
        <v>10</v>
      </c>
      <c r="J81" t="str">
        <f>_xlfn.XLOOKUP(F81,Lookup_Performance!A:A,Lookup_Performance!C:C, "No Band",-1)</f>
        <v>Developing</v>
      </c>
      <c r="K81" s="9">
        <f>_xlfn.XLOOKUP(F81,Lookup_Performance!A:A,Lookup_Performance!D:D,0,-1)</f>
        <v>0.02</v>
      </c>
      <c r="L81" s="8">
        <f t="shared" si="5"/>
        <v>1729.6000000000001</v>
      </c>
    </row>
    <row r="82" spans="1:12" x14ac:dyDescent="0.25">
      <c r="A82" t="s">
        <v>100</v>
      </c>
      <c r="B82" t="s">
        <v>251</v>
      </c>
      <c r="C82" t="s">
        <v>52</v>
      </c>
      <c r="D82" s="2">
        <v>43372</v>
      </c>
      <c r="E82" s="14">
        <v>47694</v>
      </c>
      <c r="F82">
        <v>75</v>
      </c>
      <c r="G82" t="s">
        <v>25</v>
      </c>
      <c r="H82" t="str">
        <f>_xlfn.XLOOKUP(C82,Lookup_Departments!A:A,Lookup_Departments!B:B,"Code not Found")</f>
        <v>Human Resources</v>
      </c>
      <c r="I82">
        <f t="shared" ca="1" si="4"/>
        <v>7</v>
      </c>
      <c r="J82" t="str">
        <f>_xlfn.XLOOKUP(F82,Lookup_Performance!A:A,Lookup_Performance!C:C, "No Band",-1)</f>
        <v>Achieving</v>
      </c>
      <c r="K82" s="9">
        <f>_xlfn.XLOOKUP(F82,Lookup_Performance!A:A,Lookup_Performance!D:D,0,-1)</f>
        <v>0.05</v>
      </c>
      <c r="L82" s="8">
        <f t="shared" si="5"/>
        <v>2384.7000000000003</v>
      </c>
    </row>
    <row r="83" spans="1:12" x14ac:dyDescent="0.25">
      <c r="A83" t="s">
        <v>101</v>
      </c>
      <c r="B83" t="s">
        <v>252</v>
      </c>
      <c r="C83" t="s">
        <v>8</v>
      </c>
      <c r="D83" s="2">
        <v>45171</v>
      </c>
      <c r="E83" s="14">
        <v>83724</v>
      </c>
      <c r="F83">
        <v>81</v>
      </c>
      <c r="G83" t="s">
        <v>62</v>
      </c>
      <c r="H83" t="str">
        <f>_xlfn.XLOOKUP(C83,Lookup_Departments!A:A,Lookup_Departments!B:B,"Code not Found")</f>
        <v>Information Technology</v>
      </c>
      <c r="I83">
        <f t="shared" ca="1" si="4"/>
        <v>2</v>
      </c>
      <c r="J83" t="str">
        <f>_xlfn.XLOOKUP(F83,Lookup_Performance!A:A,Lookup_Performance!C:C, "No Band",-1)</f>
        <v>Achieving</v>
      </c>
      <c r="K83" s="9">
        <f>_xlfn.XLOOKUP(F83,Lookup_Performance!A:A,Lookup_Performance!D:D,0,-1)</f>
        <v>0.05</v>
      </c>
      <c r="L83" s="8">
        <f t="shared" si="5"/>
        <v>4186.2</v>
      </c>
    </row>
    <row r="84" spans="1:12" x14ac:dyDescent="0.25">
      <c r="A84" t="s">
        <v>102</v>
      </c>
      <c r="B84" t="s">
        <v>253</v>
      </c>
      <c r="C84" t="s">
        <v>13</v>
      </c>
      <c r="D84" s="2">
        <v>44759</v>
      </c>
      <c r="E84" s="14">
        <v>98299</v>
      </c>
      <c r="F84">
        <v>61</v>
      </c>
      <c r="G84" t="s">
        <v>25</v>
      </c>
      <c r="H84" t="str">
        <f>_xlfn.XLOOKUP(C84,Lookup_Departments!A:A,Lookup_Departments!B:B,"Code not Found")</f>
        <v>Finance</v>
      </c>
      <c r="I84">
        <f t="shared" ca="1" si="4"/>
        <v>3</v>
      </c>
      <c r="J84" t="str">
        <f>_xlfn.XLOOKUP(F84,Lookup_Performance!A:A,Lookup_Performance!C:C, "No Band",-1)</f>
        <v>Developing</v>
      </c>
      <c r="K84" s="9">
        <f>_xlfn.XLOOKUP(F84,Lookup_Performance!A:A,Lookup_Performance!D:D,0,-1)</f>
        <v>0.02</v>
      </c>
      <c r="L84" s="8">
        <f t="shared" si="5"/>
        <v>1965.98</v>
      </c>
    </row>
    <row r="85" spans="1:12" x14ac:dyDescent="0.25">
      <c r="A85" t="s">
        <v>103</v>
      </c>
      <c r="B85" t="s">
        <v>254</v>
      </c>
      <c r="C85" t="s">
        <v>13</v>
      </c>
      <c r="D85" s="2">
        <v>44234</v>
      </c>
      <c r="E85" s="14">
        <v>83604</v>
      </c>
      <c r="F85">
        <v>68</v>
      </c>
      <c r="G85" t="s">
        <v>25</v>
      </c>
      <c r="H85" t="str">
        <f>_xlfn.XLOOKUP(C85,Lookup_Departments!A:A,Lookup_Departments!B:B,"Code not Found")</f>
        <v>Finance</v>
      </c>
      <c r="I85">
        <f t="shared" ca="1" si="4"/>
        <v>5</v>
      </c>
      <c r="J85" t="str">
        <f>_xlfn.XLOOKUP(F85,Lookup_Performance!A:A,Lookup_Performance!C:C, "No Band",-1)</f>
        <v>Developing</v>
      </c>
      <c r="K85" s="9">
        <f>_xlfn.XLOOKUP(F85,Lookup_Performance!A:A,Lookup_Performance!D:D,0,-1)</f>
        <v>0.02</v>
      </c>
      <c r="L85" s="8">
        <f t="shared" si="5"/>
        <v>1672.08</v>
      </c>
    </row>
    <row r="86" spans="1:12" x14ac:dyDescent="0.25">
      <c r="A86" t="s">
        <v>104</v>
      </c>
      <c r="B86" t="s">
        <v>255</v>
      </c>
      <c r="C86" t="s">
        <v>8</v>
      </c>
      <c r="D86" s="2">
        <v>45203</v>
      </c>
      <c r="E86" s="14">
        <v>52287</v>
      </c>
      <c r="F86">
        <v>70</v>
      </c>
      <c r="G86" t="s">
        <v>25</v>
      </c>
      <c r="H86" t="str">
        <f>_xlfn.XLOOKUP(C86,Lookup_Departments!A:A,Lookup_Departments!B:B,"Code not Found")</f>
        <v>Information Technology</v>
      </c>
      <c r="I86">
        <f t="shared" ca="1" si="4"/>
        <v>2</v>
      </c>
      <c r="J86" t="str">
        <f>_xlfn.XLOOKUP(F86,Lookup_Performance!A:A,Lookup_Performance!C:C, "No Band",-1)</f>
        <v>Achieving</v>
      </c>
      <c r="K86" s="9">
        <f>_xlfn.XLOOKUP(F86,Lookup_Performance!A:A,Lookup_Performance!D:D,0,-1)</f>
        <v>0.05</v>
      </c>
      <c r="L86" s="8">
        <f t="shared" si="5"/>
        <v>2614.3500000000004</v>
      </c>
    </row>
    <row r="87" spans="1:12" x14ac:dyDescent="0.25">
      <c r="A87" t="s">
        <v>105</v>
      </c>
      <c r="B87" t="s">
        <v>242</v>
      </c>
      <c r="C87" t="s">
        <v>8</v>
      </c>
      <c r="D87" s="2">
        <v>44073</v>
      </c>
      <c r="E87" s="14">
        <v>82633</v>
      </c>
      <c r="F87">
        <v>98</v>
      </c>
      <c r="G87" t="s">
        <v>25</v>
      </c>
      <c r="H87" t="str">
        <f>_xlfn.XLOOKUP(C87,Lookup_Departments!A:A,Lookup_Departments!B:B,"Code not Found")</f>
        <v>Information Technology</v>
      </c>
      <c r="I87">
        <f t="shared" ca="1" si="4"/>
        <v>5</v>
      </c>
      <c r="J87" t="str">
        <f>_xlfn.XLOOKUP(F87,Lookup_Performance!A:A,Lookup_Performance!C:C, "No Band",-1)</f>
        <v>Outstanding</v>
      </c>
      <c r="K87" s="9">
        <f>_xlfn.XLOOKUP(F87,Lookup_Performance!A:A,Lookup_Performance!D:D,0,-1)</f>
        <v>0.12</v>
      </c>
      <c r="L87" s="8">
        <f t="shared" si="5"/>
        <v>9915.9599999999991</v>
      </c>
    </row>
    <row r="88" spans="1:12" x14ac:dyDescent="0.25">
      <c r="A88" t="s">
        <v>106</v>
      </c>
      <c r="B88" t="s">
        <v>256</v>
      </c>
      <c r="C88" t="s">
        <v>18</v>
      </c>
      <c r="D88" s="2">
        <v>44422</v>
      </c>
      <c r="E88" s="14">
        <v>46508</v>
      </c>
      <c r="F88">
        <v>34</v>
      </c>
      <c r="G88" t="s">
        <v>25</v>
      </c>
      <c r="H88" t="str">
        <f>_xlfn.XLOOKUP(C88,Lookup_Departments!A:A,Lookup_Departments!B:B,"Code not Found")</f>
        <v>Operations</v>
      </c>
      <c r="I88">
        <f t="shared" ca="1" si="4"/>
        <v>4</v>
      </c>
      <c r="J88" t="str">
        <f>_xlfn.XLOOKUP(F88,Lookup_Performance!A:A,Lookup_Performance!C:C, "No Band",-1)</f>
        <v>Needs Improvement</v>
      </c>
      <c r="K88" s="9">
        <f>_xlfn.XLOOKUP(F88,Lookup_Performance!A:A,Lookup_Performance!D:D,0,-1)</f>
        <v>0</v>
      </c>
      <c r="L88" s="8">
        <f t="shared" si="5"/>
        <v>0</v>
      </c>
    </row>
    <row r="89" spans="1:12" x14ac:dyDescent="0.25">
      <c r="A89" t="s">
        <v>107</v>
      </c>
      <c r="B89" t="s">
        <v>189</v>
      </c>
      <c r="C89" t="s">
        <v>52</v>
      </c>
      <c r="D89" s="2">
        <v>43796</v>
      </c>
      <c r="E89" s="14">
        <v>86232</v>
      </c>
      <c r="F89">
        <v>93</v>
      </c>
      <c r="G89" t="s">
        <v>25</v>
      </c>
      <c r="H89" t="str">
        <f>_xlfn.XLOOKUP(C89,Lookup_Departments!A:A,Lookup_Departments!B:B,"Code not Found")</f>
        <v>Human Resources</v>
      </c>
      <c r="I89">
        <f t="shared" ca="1" si="4"/>
        <v>6</v>
      </c>
      <c r="J89" t="str">
        <f>_xlfn.XLOOKUP(F89,Lookup_Performance!A:A,Lookup_Performance!C:C, "No Band",-1)</f>
        <v>Exceeding</v>
      </c>
      <c r="K89" s="9">
        <f>_xlfn.XLOOKUP(F89,Lookup_Performance!A:A,Lookup_Performance!D:D,0,-1)</f>
        <v>0.08</v>
      </c>
      <c r="L89" s="8">
        <f t="shared" si="5"/>
        <v>6898.56</v>
      </c>
    </row>
    <row r="90" spans="1:12" x14ac:dyDescent="0.25">
      <c r="A90" t="s">
        <v>108</v>
      </c>
      <c r="B90" t="s">
        <v>230</v>
      </c>
      <c r="C90" t="s">
        <v>8</v>
      </c>
      <c r="D90" s="2">
        <v>42880</v>
      </c>
      <c r="E90" s="14">
        <v>77545</v>
      </c>
      <c r="F90">
        <v>48</v>
      </c>
      <c r="G90" t="s">
        <v>25</v>
      </c>
      <c r="H90" t="str">
        <f>_xlfn.XLOOKUP(C90,Lookup_Departments!A:A,Lookup_Departments!B:B,"Code not Found")</f>
        <v>Information Technology</v>
      </c>
      <c r="I90">
        <f t="shared" ca="1" si="4"/>
        <v>9</v>
      </c>
      <c r="J90" t="str">
        <f>_xlfn.XLOOKUP(F90,Lookup_Performance!A:A,Lookup_Performance!C:C, "No Band",-1)</f>
        <v>Needs Improvement</v>
      </c>
      <c r="K90" s="9">
        <f>_xlfn.XLOOKUP(F90,Lookup_Performance!A:A,Lookup_Performance!D:D,0,-1)</f>
        <v>0</v>
      </c>
      <c r="L90" s="8">
        <f t="shared" si="5"/>
        <v>0</v>
      </c>
    </row>
    <row r="91" spans="1:12" x14ac:dyDescent="0.25">
      <c r="A91" t="s">
        <v>109</v>
      </c>
      <c r="B91" t="s">
        <v>257</v>
      </c>
      <c r="C91" t="s">
        <v>18</v>
      </c>
      <c r="D91" s="2">
        <v>43436</v>
      </c>
      <c r="E91" s="14">
        <v>68683</v>
      </c>
      <c r="F91">
        <v>90</v>
      </c>
      <c r="G91" t="s">
        <v>25</v>
      </c>
      <c r="H91" t="str">
        <f>_xlfn.XLOOKUP(C91,Lookup_Departments!A:A,Lookup_Departments!B:B,"Code not Found")</f>
        <v>Operations</v>
      </c>
      <c r="I91">
        <f t="shared" ca="1" si="4"/>
        <v>7</v>
      </c>
      <c r="J91" t="str">
        <f>_xlfn.XLOOKUP(F91,Lookup_Performance!A:A,Lookup_Performance!C:C, "No Band",-1)</f>
        <v>Exceeding</v>
      </c>
      <c r="K91" s="9">
        <f>_xlfn.XLOOKUP(F91,Lookup_Performance!A:A,Lookup_Performance!D:D,0,-1)</f>
        <v>0.08</v>
      </c>
      <c r="L91" s="8">
        <f t="shared" si="5"/>
        <v>5494.64</v>
      </c>
    </row>
    <row r="92" spans="1:12" x14ac:dyDescent="0.25">
      <c r="A92" t="s">
        <v>110</v>
      </c>
      <c r="B92" t="s">
        <v>240</v>
      </c>
      <c r="C92" t="s">
        <v>13</v>
      </c>
      <c r="D92" s="2">
        <v>43639</v>
      </c>
      <c r="E92" s="14">
        <v>83932</v>
      </c>
      <c r="F92">
        <v>57</v>
      </c>
      <c r="G92" t="s">
        <v>16</v>
      </c>
      <c r="H92" t="str">
        <f>_xlfn.XLOOKUP(C92,Lookup_Departments!A:A,Lookup_Departments!B:B,"Code not Found")</f>
        <v>Finance</v>
      </c>
      <c r="I92">
        <f t="shared" ca="1" si="4"/>
        <v>7</v>
      </c>
      <c r="J92" t="str">
        <f>_xlfn.XLOOKUP(F92,Lookup_Performance!A:A,Lookup_Performance!C:C, "No Band",-1)</f>
        <v>Developing</v>
      </c>
      <c r="K92" s="9">
        <f>_xlfn.XLOOKUP(F92,Lookup_Performance!A:A,Lookup_Performance!D:D,0,-1)</f>
        <v>0.02</v>
      </c>
      <c r="L92" s="8">
        <f t="shared" si="5"/>
        <v>1678.64</v>
      </c>
    </row>
    <row r="93" spans="1:12" x14ac:dyDescent="0.25">
      <c r="A93" t="s">
        <v>111</v>
      </c>
      <c r="B93" t="s">
        <v>258</v>
      </c>
      <c r="C93" t="s">
        <v>52</v>
      </c>
      <c r="D93" s="2">
        <v>42304</v>
      </c>
      <c r="E93" s="14">
        <v>56073</v>
      </c>
      <c r="F93">
        <v>79</v>
      </c>
      <c r="G93" t="s">
        <v>25</v>
      </c>
      <c r="H93" t="str">
        <f>_xlfn.XLOOKUP(C93,Lookup_Departments!A:A,Lookup_Departments!B:B,"Code not Found")</f>
        <v>Human Resources</v>
      </c>
      <c r="I93">
        <f t="shared" ca="1" si="4"/>
        <v>10</v>
      </c>
      <c r="J93" t="str">
        <f>_xlfn.XLOOKUP(F93,Lookup_Performance!A:A,Lookup_Performance!C:C, "No Band",-1)</f>
        <v>Achieving</v>
      </c>
      <c r="K93" s="9">
        <f>_xlfn.XLOOKUP(F93,Lookup_Performance!A:A,Lookup_Performance!D:D,0,-1)</f>
        <v>0.05</v>
      </c>
      <c r="L93" s="8">
        <f t="shared" si="5"/>
        <v>2803.65</v>
      </c>
    </row>
    <row r="94" spans="1:12" x14ac:dyDescent="0.25">
      <c r="A94" t="s">
        <v>112</v>
      </c>
      <c r="B94" t="s">
        <v>226</v>
      </c>
      <c r="C94" t="s">
        <v>8</v>
      </c>
      <c r="D94" s="2">
        <v>43270</v>
      </c>
      <c r="E94" s="14">
        <v>88056</v>
      </c>
      <c r="F94">
        <v>66</v>
      </c>
      <c r="G94" t="s">
        <v>25</v>
      </c>
      <c r="H94" t="str">
        <f>_xlfn.XLOOKUP(C94,Lookup_Departments!A:A,Lookup_Departments!B:B,"Code not Found")</f>
        <v>Information Technology</v>
      </c>
      <c r="I94">
        <f t="shared" ca="1" si="4"/>
        <v>8</v>
      </c>
      <c r="J94" t="str">
        <f>_xlfn.XLOOKUP(F94,Lookup_Performance!A:A,Lookup_Performance!C:C, "No Band",-1)</f>
        <v>Developing</v>
      </c>
      <c r="K94" s="9">
        <f>_xlfn.XLOOKUP(F94,Lookup_Performance!A:A,Lookup_Performance!D:D,0,-1)</f>
        <v>0.02</v>
      </c>
      <c r="L94" s="8">
        <f t="shared" si="5"/>
        <v>1761.1200000000001</v>
      </c>
    </row>
    <row r="95" spans="1:12" x14ac:dyDescent="0.25">
      <c r="A95" t="s">
        <v>113</v>
      </c>
      <c r="B95" t="s">
        <v>259</v>
      </c>
      <c r="C95" t="s">
        <v>18</v>
      </c>
      <c r="D95" s="2">
        <v>43112</v>
      </c>
      <c r="E95" s="14">
        <v>67414</v>
      </c>
      <c r="F95">
        <v>84</v>
      </c>
      <c r="G95" t="s">
        <v>16</v>
      </c>
      <c r="H95" t="str">
        <f>_xlfn.XLOOKUP(C95,Lookup_Departments!A:A,Lookup_Departments!B:B,"Code not Found")</f>
        <v>Operations</v>
      </c>
      <c r="I95">
        <f t="shared" ca="1" si="4"/>
        <v>8</v>
      </c>
      <c r="J95" t="str">
        <f>_xlfn.XLOOKUP(F95,Lookup_Performance!A:A,Lookup_Performance!C:C, "No Band",-1)</f>
        <v>Achieving</v>
      </c>
      <c r="K95" s="9">
        <f>_xlfn.XLOOKUP(F95,Lookup_Performance!A:A,Lookup_Performance!D:D,0,-1)</f>
        <v>0.05</v>
      </c>
      <c r="L95" s="8">
        <f t="shared" si="5"/>
        <v>3370.7000000000003</v>
      </c>
    </row>
    <row r="96" spans="1:12" x14ac:dyDescent="0.25">
      <c r="A96" t="s">
        <v>114</v>
      </c>
      <c r="B96" t="s">
        <v>257</v>
      </c>
      <c r="C96" t="s">
        <v>24</v>
      </c>
      <c r="D96" s="2">
        <v>42008</v>
      </c>
      <c r="E96" s="14">
        <v>115288</v>
      </c>
      <c r="F96">
        <v>61</v>
      </c>
      <c r="G96" t="s">
        <v>25</v>
      </c>
      <c r="H96" t="str">
        <f>_xlfn.XLOOKUP(C96,Lookup_Departments!A:A,Lookup_Departments!B:B,"Code not Found")</f>
        <v>Sales</v>
      </c>
      <c r="I96">
        <f t="shared" ca="1" si="4"/>
        <v>11</v>
      </c>
      <c r="J96" t="str">
        <f>_xlfn.XLOOKUP(F96,Lookup_Performance!A:A,Lookup_Performance!C:C, "No Band",-1)</f>
        <v>Developing</v>
      </c>
      <c r="K96" s="9">
        <f>_xlfn.XLOOKUP(F96,Lookup_Performance!A:A,Lookup_Performance!D:D,0,-1)</f>
        <v>0.02</v>
      </c>
      <c r="L96" s="8">
        <f t="shared" si="5"/>
        <v>2305.7600000000002</v>
      </c>
    </row>
    <row r="97" spans="1:12" x14ac:dyDescent="0.25">
      <c r="A97" t="s">
        <v>115</v>
      </c>
      <c r="B97" t="s">
        <v>15</v>
      </c>
      <c r="C97" t="s">
        <v>24</v>
      </c>
      <c r="D97" s="2">
        <v>43439</v>
      </c>
      <c r="E97" s="14">
        <v>80140</v>
      </c>
      <c r="F97">
        <v>58</v>
      </c>
      <c r="G97" t="s">
        <v>25</v>
      </c>
      <c r="H97" t="str">
        <f>_xlfn.XLOOKUP(C97,Lookup_Departments!A:A,Lookup_Departments!B:B,"Code not Found")</f>
        <v>Sales</v>
      </c>
      <c r="I97">
        <f t="shared" ca="1" si="4"/>
        <v>7</v>
      </c>
      <c r="J97" t="str">
        <f>_xlfn.XLOOKUP(F97,Lookup_Performance!A:A,Lookup_Performance!C:C, "No Band",-1)</f>
        <v>Developing</v>
      </c>
      <c r="K97" s="9">
        <f>_xlfn.XLOOKUP(F97,Lookup_Performance!A:A,Lookup_Performance!D:D,0,-1)</f>
        <v>0.02</v>
      </c>
      <c r="L97" s="8">
        <f t="shared" si="5"/>
        <v>1602.8</v>
      </c>
    </row>
    <row r="98" spans="1:12" x14ac:dyDescent="0.25">
      <c r="A98" t="s">
        <v>116</v>
      </c>
      <c r="B98" t="s">
        <v>255</v>
      </c>
      <c r="C98" t="s">
        <v>8</v>
      </c>
      <c r="D98" s="2">
        <v>44482</v>
      </c>
      <c r="E98" s="14">
        <v>73087</v>
      </c>
      <c r="F98">
        <v>69</v>
      </c>
      <c r="G98" t="s">
        <v>25</v>
      </c>
      <c r="H98" t="str">
        <f>_xlfn.XLOOKUP(C98,Lookup_Departments!A:A,Lookup_Departments!B:B,"Code not Found")</f>
        <v>Information Technology</v>
      </c>
      <c r="I98">
        <f t="shared" ref="I98:I129" ca="1" si="6">DATEDIF(D98,TODAY(),"Y")</f>
        <v>4</v>
      </c>
      <c r="J98" t="str">
        <f>_xlfn.XLOOKUP(F98,Lookup_Performance!A:A,Lookup_Performance!C:C, "No Band",-1)</f>
        <v>Developing</v>
      </c>
      <c r="K98" s="9">
        <f>_xlfn.XLOOKUP(F98,Lookup_Performance!A:A,Lookup_Performance!D:D,0,-1)</f>
        <v>0.02</v>
      </c>
      <c r="L98" s="8">
        <f t="shared" ref="L98:L129" si="7">E98*K98</f>
        <v>1461.74</v>
      </c>
    </row>
    <row r="99" spans="1:12" x14ac:dyDescent="0.25">
      <c r="A99" t="s">
        <v>117</v>
      </c>
      <c r="B99" t="s">
        <v>260</v>
      </c>
      <c r="C99" t="s">
        <v>24</v>
      </c>
      <c r="D99" s="2">
        <v>44081</v>
      </c>
      <c r="E99" s="14">
        <v>95292</v>
      </c>
      <c r="F99">
        <v>34</v>
      </c>
      <c r="G99" t="s">
        <v>25</v>
      </c>
      <c r="H99" t="str">
        <f>_xlfn.XLOOKUP(C99,Lookup_Departments!A:A,Lookup_Departments!B:B,"Code not Found")</f>
        <v>Sales</v>
      </c>
      <c r="I99">
        <f t="shared" ca="1" si="6"/>
        <v>5</v>
      </c>
      <c r="J99" t="str">
        <f>_xlfn.XLOOKUP(F99,Lookup_Performance!A:A,Lookup_Performance!C:C, "No Band",-1)</f>
        <v>Needs Improvement</v>
      </c>
      <c r="K99" s="9">
        <f>_xlfn.XLOOKUP(F99,Lookup_Performance!A:A,Lookup_Performance!D:D,0,-1)</f>
        <v>0</v>
      </c>
      <c r="L99" s="8">
        <f t="shared" si="7"/>
        <v>0</v>
      </c>
    </row>
    <row r="100" spans="1:12" x14ac:dyDescent="0.25">
      <c r="A100" t="s">
        <v>118</v>
      </c>
      <c r="B100" t="s">
        <v>261</v>
      </c>
      <c r="C100" t="s">
        <v>8</v>
      </c>
      <c r="D100" s="2">
        <v>43532</v>
      </c>
      <c r="E100" s="14">
        <v>83604</v>
      </c>
      <c r="F100">
        <v>33</v>
      </c>
      <c r="G100" t="s">
        <v>25</v>
      </c>
      <c r="H100" t="str">
        <f>_xlfn.XLOOKUP(C100,Lookup_Departments!A:A,Lookup_Departments!B:B,"Code not Found")</f>
        <v>Information Technology</v>
      </c>
      <c r="I100">
        <f t="shared" ca="1" si="6"/>
        <v>7</v>
      </c>
      <c r="J100" t="str">
        <f>_xlfn.XLOOKUP(F100,Lookup_Performance!A:A,Lookup_Performance!C:C, "No Band",-1)</f>
        <v>Needs Improvement</v>
      </c>
      <c r="K100" s="9">
        <f>_xlfn.XLOOKUP(F100,Lookup_Performance!A:A,Lookup_Performance!D:D,0,-1)</f>
        <v>0</v>
      </c>
      <c r="L100" s="8">
        <f t="shared" si="7"/>
        <v>0</v>
      </c>
    </row>
    <row r="101" spans="1:12" x14ac:dyDescent="0.25">
      <c r="A101" t="s">
        <v>119</v>
      </c>
      <c r="B101" t="s">
        <v>262</v>
      </c>
      <c r="C101" t="s">
        <v>10</v>
      </c>
      <c r="D101" s="2">
        <v>42074</v>
      </c>
      <c r="E101" s="14">
        <v>101750</v>
      </c>
      <c r="F101">
        <v>84</v>
      </c>
      <c r="G101" t="s">
        <v>16</v>
      </c>
      <c r="H101" t="str">
        <f>_xlfn.XLOOKUP(C101,Lookup_Departments!A:A,Lookup_Departments!B:B,"Code not Found")</f>
        <v>Marketing</v>
      </c>
      <c r="I101">
        <f t="shared" ca="1" si="6"/>
        <v>11</v>
      </c>
      <c r="J101" t="str">
        <f>_xlfn.XLOOKUP(F101,Lookup_Performance!A:A,Lookup_Performance!C:C, "No Band",-1)</f>
        <v>Achieving</v>
      </c>
      <c r="K101" s="9">
        <f>_xlfn.XLOOKUP(F101,Lookup_Performance!A:A,Lookup_Performance!D:D,0,-1)</f>
        <v>0.05</v>
      </c>
      <c r="L101" s="8">
        <f t="shared" si="7"/>
        <v>5087.5</v>
      </c>
    </row>
    <row r="102" spans="1:12" x14ac:dyDescent="0.25">
      <c r="A102" t="s">
        <v>120</v>
      </c>
      <c r="B102" t="s">
        <v>263</v>
      </c>
      <c r="C102" t="s">
        <v>10</v>
      </c>
      <c r="D102" s="2">
        <v>42785</v>
      </c>
      <c r="E102" s="14">
        <v>82992</v>
      </c>
      <c r="F102">
        <v>79</v>
      </c>
      <c r="G102" t="s">
        <v>25</v>
      </c>
      <c r="H102" t="str">
        <f>_xlfn.XLOOKUP(C102,Lookup_Departments!A:A,Lookup_Departments!B:B,"Code not Found")</f>
        <v>Marketing</v>
      </c>
      <c r="I102">
        <f t="shared" ca="1" si="6"/>
        <v>9</v>
      </c>
      <c r="J102" t="str">
        <f>_xlfn.XLOOKUP(F102,Lookup_Performance!A:A,Lookup_Performance!C:C, "No Band",-1)</f>
        <v>Achieving</v>
      </c>
      <c r="K102" s="9">
        <f>_xlfn.XLOOKUP(F102,Lookup_Performance!A:A,Lookup_Performance!D:D,0,-1)</f>
        <v>0.05</v>
      </c>
      <c r="L102" s="8">
        <f t="shared" si="7"/>
        <v>4149.6000000000004</v>
      </c>
    </row>
    <row r="103" spans="1:12" x14ac:dyDescent="0.25">
      <c r="A103" t="s">
        <v>121</v>
      </c>
      <c r="B103" t="s">
        <v>264</v>
      </c>
      <c r="C103" t="s">
        <v>8</v>
      </c>
      <c r="D103" s="2">
        <v>45055</v>
      </c>
      <c r="E103" s="14">
        <v>49942</v>
      </c>
      <c r="F103">
        <v>51</v>
      </c>
      <c r="G103" t="s">
        <v>25</v>
      </c>
      <c r="H103" t="str">
        <f>_xlfn.XLOOKUP(C103,Lookup_Departments!A:A,Lookup_Departments!B:B,"Code not Found")</f>
        <v>Information Technology</v>
      </c>
      <c r="I103">
        <f t="shared" ca="1" si="6"/>
        <v>3</v>
      </c>
      <c r="J103" t="str">
        <f>_xlfn.XLOOKUP(F103,Lookup_Performance!A:A,Lookup_Performance!C:C, "No Band",-1)</f>
        <v>Developing</v>
      </c>
      <c r="K103" s="9">
        <f>_xlfn.XLOOKUP(F103,Lookup_Performance!A:A,Lookup_Performance!D:D,0,-1)</f>
        <v>0.02</v>
      </c>
      <c r="L103" s="8">
        <f t="shared" si="7"/>
        <v>998.84</v>
      </c>
    </row>
    <row r="104" spans="1:12" x14ac:dyDescent="0.25">
      <c r="A104" t="s">
        <v>122</v>
      </c>
      <c r="B104" t="s">
        <v>265</v>
      </c>
      <c r="C104" t="s">
        <v>18</v>
      </c>
      <c r="D104" s="2">
        <v>43122</v>
      </c>
      <c r="E104" s="14">
        <v>89060</v>
      </c>
      <c r="F104">
        <v>58</v>
      </c>
      <c r="G104" t="s">
        <v>25</v>
      </c>
      <c r="H104" t="str">
        <f>_xlfn.XLOOKUP(C104,Lookup_Departments!A:A,Lookup_Departments!B:B,"Code not Found")</f>
        <v>Operations</v>
      </c>
      <c r="I104">
        <f t="shared" ca="1" si="6"/>
        <v>8</v>
      </c>
      <c r="J104" t="str">
        <f>_xlfn.XLOOKUP(F104,Lookup_Performance!A:A,Lookup_Performance!C:C, "No Band",-1)</f>
        <v>Developing</v>
      </c>
      <c r="K104" s="9">
        <f>_xlfn.XLOOKUP(F104,Lookup_Performance!A:A,Lookup_Performance!D:D,0,-1)</f>
        <v>0.02</v>
      </c>
      <c r="L104" s="8">
        <f t="shared" si="7"/>
        <v>1781.2</v>
      </c>
    </row>
    <row r="105" spans="1:12" x14ac:dyDescent="0.25">
      <c r="A105" t="s">
        <v>123</v>
      </c>
      <c r="B105" t="s">
        <v>246</v>
      </c>
      <c r="C105" t="s">
        <v>8</v>
      </c>
      <c r="D105" s="2">
        <v>43879</v>
      </c>
      <c r="E105" s="14">
        <v>53786</v>
      </c>
      <c r="F105">
        <v>98</v>
      </c>
      <c r="G105" t="s">
        <v>25</v>
      </c>
      <c r="H105" t="str">
        <f>_xlfn.XLOOKUP(C105,Lookup_Departments!A:A,Lookup_Departments!B:B,"Code not Found")</f>
        <v>Information Technology</v>
      </c>
      <c r="I105">
        <f t="shared" ca="1" si="6"/>
        <v>6</v>
      </c>
      <c r="J105" t="str">
        <f>_xlfn.XLOOKUP(F105,Lookup_Performance!A:A,Lookup_Performance!C:C, "No Band",-1)</f>
        <v>Outstanding</v>
      </c>
      <c r="K105" s="9">
        <f>_xlfn.XLOOKUP(F105,Lookup_Performance!A:A,Lookup_Performance!D:D,0,-1)</f>
        <v>0.12</v>
      </c>
      <c r="L105" s="8">
        <f t="shared" si="7"/>
        <v>6454.32</v>
      </c>
    </row>
    <row r="106" spans="1:12" x14ac:dyDescent="0.25">
      <c r="A106" t="s">
        <v>124</v>
      </c>
      <c r="B106" t="s">
        <v>192</v>
      </c>
      <c r="C106" t="s">
        <v>18</v>
      </c>
      <c r="D106" s="2">
        <v>42512</v>
      </c>
      <c r="E106" s="14">
        <v>81167</v>
      </c>
      <c r="F106">
        <v>68</v>
      </c>
      <c r="G106" t="s">
        <v>25</v>
      </c>
      <c r="H106" t="str">
        <f>_xlfn.XLOOKUP(C106,Lookup_Departments!A:A,Lookup_Departments!B:B,"Code not Found")</f>
        <v>Operations</v>
      </c>
      <c r="I106">
        <f t="shared" ca="1" si="6"/>
        <v>10</v>
      </c>
      <c r="J106" t="str">
        <f>_xlfn.XLOOKUP(F106,Lookup_Performance!A:A,Lookup_Performance!C:C, "No Band",-1)</f>
        <v>Developing</v>
      </c>
      <c r="K106" s="9">
        <f>_xlfn.XLOOKUP(F106,Lookup_Performance!A:A,Lookup_Performance!D:D,0,-1)</f>
        <v>0.02</v>
      </c>
      <c r="L106" s="8">
        <f t="shared" si="7"/>
        <v>1623.3400000000001</v>
      </c>
    </row>
    <row r="107" spans="1:12" x14ac:dyDescent="0.25">
      <c r="A107" t="s">
        <v>125</v>
      </c>
      <c r="B107" t="s">
        <v>266</v>
      </c>
      <c r="C107" t="s">
        <v>10</v>
      </c>
      <c r="D107" s="2">
        <v>44349</v>
      </c>
      <c r="E107" s="14">
        <v>66688</v>
      </c>
      <c r="F107">
        <v>40</v>
      </c>
      <c r="G107" t="s">
        <v>16</v>
      </c>
      <c r="H107" t="str">
        <f>_xlfn.XLOOKUP(C107,Lookup_Departments!A:A,Lookup_Departments!B:B,"Code not Found")</f>
        <v>Marketing</v>
      </c>
      <c r="I107">
        <f t="shared" ca="1" si="6"/>
        <v>5</v>
      </c>
      <c r="J107" t="str">
        <f>_xlfn.XLOOKUP(F107,Lookup_Performance!A:A,Lookup_Performance!C:C, "No Band",-1)</f>
        <v>Needs Improvement</v>
      </c>
      <c r="K107" s="9">
        <f>_xlfn.XLOOKUP(F107,Lookup_Performance!A:A,Lookup_Performance!D:D,0,-1)</f>
        <v>0</v>
      </c>
      <c r="L107" s="8">
        <f t="shared" si="7"/>
        <v>0</v>
      </c>
    </row>
    <row r="108" spans="1:12" x14ac:dyDescent="0.25">
      <c r="A108" t="s">
        <v>126</v>
      </c>
      <c r="B108" t="s">
        <v>267</v>
      </c>
      <c r="C108" t="s">
        <v>8</v>
      </c>
      <c r="D108" s="2">
        <v>44394</v>
      </c>
      <c r="E108" s="14">
        <v>91672</v>
      </c>
      <c r="F108">
        <v>88</v>
      </c>
      <c r="G108" t="s">
        <v>25</v>
      </c>
      <c r="H108" t="str">
        <f>_xlfn.XLOOKUP(C108,Lookup_Departments!A:A,Lookup_Departments!B:B,"Code not Found")</f>
        <v>Information Technology</v>
      </c>
      <c r="I108">
        <f t="shared" ca="1" si="6"/>
        <v>4</v>
      </c>
      <c r="J108" t="str">
        <f>_xlfn.XLOOKUP(F108,Lookup_Performance!A:A,Lookup_Performance!C:C, "No Band",-1)</f>
        <v>Exceeding</v>
      </c>
      <c r="K108" s="9">
        <f>_xlfn.XLOOKUP(F108,Lookup_Performance!A:A,Lookup_Performance!D:D,0,-1)</f>
        <v>0.08</v>
      </c>
      <c r="L108" s="8">
        <f t="shared" si="7"/>
        <v>7333.76</v>
      </c>
    </row>
    <row r="109" spans="1:12" x14ac:dyDescent="0.25">
      <c r="A109" t="s">
        <v>127</v>
      </c>
      <c r="B109" t="s">
        <v>268</v>
      </c>
      <c r="C109" t="s">
        <v>52</v>
      </c>
      <c r="D109" s="2">
        <v>42687</v>
      </c>
      <c r="E109" s="14">
        <v>77737</v>
      </c>
      <c r="F109">
        <v>77</v>
      </c>
      <c r="G109" t="s">
        <v>25</v>
      </c>
      <c r="H109" t="str">
        <f>_xlfn.XLOOKUP(C109,Lookup_Departments!A:A,Lookup_Departments!B:B,"Code not Found")</f>
        <v>Human Resources</v>
      </c>
      <c r="I109">
        <f t="shared" ca="1" si="6"/>
        <v>9</v>
      </c>
      <c r="J109" t="str">
        <f>_xlfn.XLOOKUP(F109,Lookup_Performance!A:A,Lookup_Performance!C:C, "No Band",-1)</f>
        <v>Achieving</v>
      </c>
      <c r="K109" s="9">
        <f>_xlfn.XLOOKUP(F109,Lookup_Performance!A:A,Lookup_Performance!D:D,0,-1)</f>
        <v>0.05</v>
      </c>
      <c r="L109" s="8">
        <f t="shared" si="7"/>
        <v>3886.8500000000004</v>
      </c>
    </row>
    <row r="110" spans="1:12" x14ac:dyDescent="0.25">
      <c r="A110" t="s">
        <v>128</v>
      </c>
      <c r="B110" t="s">
        <v>219</v>
      </c>
      <c r="C110" t="s">
        <v>24</v>
      </c>
      <c r="D110" s="2">
        <v>43513</v>
      </c>
      <c r="E110" s="14">
        <v>95686</v>
      </c>
      <c r="F110">
        <v>91</v>
      </c>
      <c r="G110" t="s">
        <v>25</v>
      </c>
      <c r="H110" t="str">
        <f>_xlfn.XLOOKUP(C110,Lookup_Departments!A:A,Lookup_Departments!B:B,"Code not Found")</f>
        <v>Sales</v>
      </c>
      <c r="I110">
        <f t="shared" ca="1" si="6"/>
        <v>7</v>
      </c>
      <c r="J110" t="str">
        <f>_xlfn.XLOOKUP(F110,Lookup_Performance!A:A,Lookup_Performance!C:C, "No Band",-1)</f>
        <v>Exceeding</v>
      </c>
      <c r="K110" s="9">
        <f>_xlfn.XLOOKUP(F110,Lookup_Performance!A:A,Lookup_Performance!D:D,0,-1)</f>
        <v>0.08</v>
      </c>
      <c r="L110" s="8">
        <f t="shared" si="7"/>
        <v>7654.88</v>
      </c>
    </row>
    <row r="111" spans="1:12" x14ac:dyDescent="0.25">
      <c r="A111" t="s">
        <v>129</v>
      </c>
      <c r="B111" t="s">
        <v>194</v>
      </c>
      <c r="C111" t="s">
        <v>24</v>
      </c>
      <c r="D111" s="2">
        <v>42625</v>
      </c>
      <c r="E111" s="14">
        <v>114681</v>
      </c>
      <c r="F111">
        <v>36</v>
      </c>
      <c r="G111" t="s">
        <v>25</v>
      </c>
      <c r="H111" t="str">
        <f>_xlfn.XLOOKUP(C111,Lookup_Departments!A:A,Lookup_Departments!B:B,"Code not Found")</f>
        <v>Sales</v>
      </c>
      <c r="I111">
        <f t="shared" ca="1" si="6"/>
        <v>9</v>
      </c>
      <c r="J111" t="str">
        <f>_xlfn.XLOOKUP(F111,Lookup_Performance!A:A,Lookup_Performance!C:C, "No Band",-1)</f>
        <v>Needs Improvement</v>
      </c>
      <c r="K111" s="9">
        <f>_xlfn.XLOOKUP(F111,Lookup_Performance!A:A,Lookup_Performance!D:D,0,-1)</f>
        <v>0</v>
      </c>
      <c r="L111" s="8">
        <f t="shared" si="7"/>
        <v>0</v>
      </c>
    </row>
    <row r="112" spans="1:12" x14ac:dyDescent="0.25">
      <c r="A112" t="s">
        <v>130</v>
      </c>
      <c r="B112" t="s">
        <v>240</v>
      </c>
      <c r="C112" t="s">
        <v>18</v>
      </c>
      <c r="D112" s="2">
        <v>44421</v>
      </c>
      <c r="E112" s="14">
        <v>109121</v>
      </c>
      <c r="F112">
        <v>72</v>
      </c>
      <c r="G112" t="s">
        <v>25</v>
      </c>
      <c r="H112" t="str">
        <f>_xlfn.XLOOKUP(C112,Lookup_Departments!A:A,Lookup_Departments!B:B,"Code not Found")</f>
        <v>Operations</v>
      </c>
      <c r="I112">
        <f t="shared" ca="1" si="6"/>
        <v>4</v>
      </c>
      <c r="J112" t="str">
        <f>_xlfn.XLOOKUP(F112,Lookup_Performance!A:A,Lookup_Performance!C:C, "No Band",-1)</f>
        <v>Achieving</v>
      </c>
      <c r="K112" s="9">
        <f>_xlfn.XLOOKUP(F112,Lookup_Performance!A:A,Lookup_Performance!D:D,0,-1)</f>
        <v>0.05</v>
      </c>
      <c r="L112" s="8">
        <f t="shared" si="7"/>
        <v>5456.05</v>
      </c>
    </row>
    <row r="113" spans="1:12" x14ac:dyDescent="0.25">
      <c r="A113" t="s">
        <v>131</v>
      </c>
      <c r="B113" t="s">
        <v>269</v>
      </c>
      <c r="C113" t="s">
        <v>10</v>
      </c>
      <c r="D113" s="2">
        <v>43996</v>
      </c>
      <c r="E113" s="14">
        <v>112791</v>
      </c>
      <c r="F113">
        <v>87</v>
      </c>
      <c r="G113" t="s">
        <v>25</v>
      </c>
      <c r="H113" t="str">
        <f>_xlfn.XLOOKUP(C113,Lookup_Departments!A:A,Lookup_Departments!B:B,"Code not Found")</f>
        <v>Marketing</v>
      </c>
      <c r="I113">
        <f t="shared" ca="1" si="6"/>
        <v>6</v>
      </c>
      <c r="J113" t="str">
        <f>_xlfn.XLOOKUP(F113,Lookup_Performance!A:A,Lookup_Performance!C:C, "No Band",-1)</f>
        <v>Exceeding</v>
      </c>
      <c r="K113" s="9">
        <f>_xlfn.XLOOKUP(F113,Lookup_Performance!A:A,Lookup_Performance!D:D,0,-1)</f>
        <v>0.08</v>
      </c>
      <c r="L113" s="8">
        <f t="shared" si="7"/>
        <v>9023.2800000000007</v>
      </c>
    </row>
    <row r="114" spans="1:12" x14ac:dyDescent="0.25">
      <c r="A114" t="s">
        <v>132</v>
      </c>
      <c r="B114" t="s">
        <v>270</v>
      </c>
      <c r="C114" t="s">
        <v>8</v>
      </c>
      <c r="D114" s="2">
        <v>44747</v>
      </c>
      <c r="E114" s="14">
        <v>118008</v>
      </c>
      <c r="F114">
        <v>71</v>
      </c>
      <c r="G114" t="s">
        <v>25</v>
      </c>
      <c r="H114" t="str">
        <f>_xlfn.XLOOKUP(C114,Lookup_Departments!A:A,Lookup_Departments!B:B,"Code not Found")</f>
        <v>Information Technology</v>
      </c>
      <c r="I114">
        <f t="shared" ca="1" si="6"/>
        <v>3</v>
      </c>
      <c r="J114" t="str">
        <f>_xlfn.XLOOKUP(F114,Lookup_Performance!A:A,Lookup_Performance!C:C, "No Band",-1)</f>
        <v>Achieving</v>
      </c>
      <c r="K114" s="9">
        <f>_xlfn.XLOOKUP(F114,Lookup_Performance!A:A,Lookup_Performance!D:D,0,-1)</f>
        <v>0.05</v>
      </c>
      <c r="L114" s="8">
        <f t="shared" si="7"/>
        <v>5900.4000000000005</v>
      </c>
    </row>
    <row r="115" spans="1:12" x14ac:dyDescent="0.25">
      <c r="A115" t="s">
        <v>133</v>
      </c>
      <c r="B115" t="s">
        <v>259</v>
      </c>
      <c r="C115" t="s">
        <v>8</v>
      </c>
      <c r="D115" s="2">
        <v>42561</v>
      </c>
      <c r="E115" s="14">
        <v>74370</v>
      </c>
      <c r="F115">
        <v>82</v>
      </c>
      <c r="G115" t="s">
        <v>25</v>
      </c>
      <c r="H115" t="str">
        <f>_xlfn.XLOOKUP(C115,Lookup_Departments!A:A,Lookup_Departments!B:B,"Code not Found")</f>
        <v>Information Technology</v>
      </c>
      <c r="I115">
        <f t="shared" ca="1" si="6"/>
        <v>9</v>
      </c>
      <c r="J115" t="str">
        <f>_xlfn.XLOOKUP(F115,Lookup_Performance!A:A,Lookup_Performance!C:C, "No Band",-1)</f>
        <v>Achieving</v>
      </c>
      <c r="K115" s="9">
        <f>_xlfn.XLOOKUP(F115,Lookup_Performance!A:A,Lookup_Performance!D:D,0,-1)</f>
        <v>0.05</v>
      </c>
      <c r="L115" s="8">
        <f t="shared" si="7"/>
        <v>3718.5</v>
      </c>
    </row>
    <row r="116" spans="1:12" x14ac:dyDescent="0.25">
      <c r="A116" t="s">
        <v>134</v>
      </c>
      <c r="B116" t="s">
        <v>271</v>
      </c>
      <c r="C116" t="s">
        <v>8</v>
      </c>
      <c r="D116" s="2">
        <v>44674</v>
      </c>
      <c r="E116" s="14">
        <v>77819</v>
      </c>
      <c r="F116">
        <v>79</v>
      </c>
      <c r="G116" t="s">
        <v>25</v>
      </c>
      <c r="H116" t="str">
        <f>_xlfn.XLOOKUP(C116,Lookup_Departments!A:A,Lookup_Departments!B:B,"Code not Found")</f>
        <v>Information Technology</v>
      </c>
      <c r="I116">
        <f t="shared" ca="1" si="6"/>
        <v>4</v>
      </c>
      <c r="J116" t="str">
        <f>_xlfn.XLOOKUP(F116,Lookup_Performance!A:A,Lookup_Performance!C:C, "No Band",-1)</f>
        <v>Achieving</v>
      </c>
      <c r="K116" s="9">
        <f>_xlfn.XLOOKUP(F116,Lookup_Performance!A:A,Lookup_Performance!D:D,0,-1)</f>
        <v>0.05</v>
      </c>
      <c r="L116" s="8">
        <f t="shared" si="7"/>
        <v>3890.9500000000003</v>
      </c>
    </row>
    <row r="117" spans="1:12" x14ac:dyDescent="0.25">
      <c r="A117" t="s">
        <v>135</v>
      </c>
      <c r="B117" t="s">
        <v>199</v>
      </c>
      <c r="C117" t="s">
        <v>10</v>
      </c>
      <c r="D117" s="2">
        <v>42865</v>
      </c>
      <c r="E117" s="14">
        <v>48748</v>
      </c>
      <c r="F117">
        <v>83</v>
      </c>
      <c r="G117" t="s">
        <v>25</v>
      </c>
      <c r="H117" t="str">
        <f>_xlfn.XLOOKUP(C117,Lookup_Departments!A:A,Lookup_Departments!B:B,"Code not Found")</f>
        <v>Marketing</v>
      </c>
      <c r="I117">
        <f t="shared" ca="1" si="6"/>
        <v>9</v>
      </c>
      <c r="J117" t="str">
        <f>_xlfn.XLOOKUP(F117,Lookup_Performance!A:A,Lookup_Performance!C:C, "No Band",-1)</f>
        <v>Achieving</v>
      </c>
      <c r="K117" s="9">
        <f>_xlfn.XLOOKUP(F117,Lookup_Performance!A:A,Lookup_Performance!D:D,0,-1)</f>
        <v>0.05</v>
      </c>
      <c r="L117" s="8">
        <f t="shared" si="7"/>
        <v>2437.4</v>
      </c>
    </row>
    <row r="118" spans="1:12" x14ac:dyDescent="0.25">
      <c r="A118" t="s">
        <v>136</v>
      </c>
      <c r="B118" t="s">
        <v>272</v>
      </c>
      <c r="C118" t="s">
        <v>18</v>
      </c>
      <c r="D118" s="2">
        <v>43971</v>
      </c>
      <c r="E118" s="14">
        <v>101997</v>
      </c>
      <c r="F118">
        <v>38</v>
      </c>
      <c r="G118" t="s">
        <v>62</v>
      </c>
      <c r="H118" t="str">
        <f>_xlfn.XLOOKUP(C118,Lookup_Departments!A:A,Lookup_Departments!B:B,"Code not Found")</f>
        <v>Operations</v>
      </c>
      <c r="I118">
        <f t="shared" ca="1" si="6"/>
        <v>6</v>
      </c>
      <c r="J118" t="str">
        <f>_xlfn.XLOOKUP(F118,Lookup_Performance!A:A,Lookup_Performance!C:C, "No Band",-1)</f>
        <v>Needs Improvement</v>
      </c>
      <c r="K118" s="9">
        <f>_xlfn.XLOOKUP(F118,Lookup_Performance!A:A,Lookup_Performance!D:D,0,-1)</f>
        <v>0</v>
      </c>
      <c r="L118" s="8">
        <f t="shared" si="7"/>
        <v>0</v>
      </c>
    </row>
    <row r="119" spans="1:12" x14ac:dyDescent="0.25">
      <c r="A119" t="s">
        <v>137</v>
      </c>
      <c r="B119" t="s">
        <v>273</v>
      </c>
      <c r="C119" t="s">
        <v>52</v>
      </c>
      <c r="D119" s="2">
        <v>45036</v>
      </c>
      <c r="E119" s="14">
        <v>115260</v>
      </c>
      <c r="F119">
        <v>77</v>
      </c>
      <c r="G119" t="s">
        <v>25</v>
      </c>
      <c r="H119" t="str">
        <f>_xlfn.XLOOKUP(C119,Lookup_Departments!A:A,Lookup_Departments!B:B,"Code not Found")</f>
        <v>Human Resources</v>
      </c>
      <c r="I119">
        <f t="shared" ca="1" si="6"/>
        <v>3</v>
      </c>
      <c r="J119" t="str">
        <f>_xlfn.XLOOKUP(F119,Lookup_Performance!A:A,Lookup_Performance!C:C, "No Band",-1)</f>
        <v>Achieving</v>
      </c>
      <c r="K119" s="9">
        <f>_xlfn.XLOOKUP(F119,Lookup_Performance!A:A,Lookup_Performance!D:D,0,-1)</f>
        <v>0.05</v>
      </c>
      <c r="L119" s="8">
        <f t="shared" si="7"/>
        <v>5763</v>
      </c>
    </row>
    <row r="120" spans="1:12" x14ac:dyDescent="0.25">
      <c r="A120" t="s">
        <v>138</v>
      </c>
      <c r="B120" t="s">
        <v>274</v>
      </c>
      <c r="C120" t="s">
        <v>24</v>
      </c>
      <c r="D120" s="2">
        <v>44500</v>
      </c>
      <c r="E120" s="14">
        <v>83604</v>
      </c>
      <c r="F120">
        <v>49</v>
      </c>
      <c r="G120" t="s">
        <v>25</v>
      </c>
      <c r="H120" t="str">
        <f>_xlfn.XLOOKUP(C120,Lookup_Departments!A:A,Lookup_Departments!B:B,"Code not Found")</f>
        <v>Sales</v>
      </c>
      <c r="I120">
        <f t="shared" ca="1" si="6"/>
        <v>4</v>
      </c>
      <c r="J120" t="str">
        <f>_xlfn.XLOOKUP(F120,Lookup_Performance!A:A,Lookup_Performance!C:C, "No Band",-1)</f>
        <v>Needs Improvement</v>
      </c>
      <c r="K120" s="9">
        <f>_xlfn.XLOOKUP(F120,Lookup_Performance!A:A,Lookup_Performance!D:D,0,-1)</f>
        <v>0</v>
      </c>
      <c r="L120" s="8">
        <f t="shared" si="7"/>
        <v>0</v>
      </c>
    </row>
    <row r="121" spans="1:12" x14ac:dyDescent="0.25">
      <c r="A121" t="s">
        <v>139</v>
      </c>
      <c r="B121" t="s">
        <v>217</v>
      </c>
      <c r="C121" t="s">
        <v>8</v>
      </c>
      <c r="D121" s="2">
        <v>44493</v>
      </c>
      <c r="E121" s="14">
        <v>83604</v>
      </c>
      <c r="F121">
        <v>69</v>
      </c>
      <c r="G121" t="s">
        <v>16</v>
      </c>
      <c r="H121" t="str">
        <f>_xlfn.XLOOKUP(C121,Lookup_Departments!A:A,Lookup_Departments!B:B,"Code not Found")</f>
        <v>Information Technology</v>
      </c>
      <c r="I121">
        <f t="shared" ca="1" si="6"/>
        <v>4</v>
      </c>
      <c r="J121" t="str">
        <f>_xlfn.XLOOKUP(F121,Lookup_Performance!A:A,Lookup_Performance!C:C, "No Band",-1)</f>
        <v>Developing</v>
      </c>
      <c r="K121" s="9">
        <f>_xlfn.XLOOKUP(F121,Lookup_Performance!A:A,Lookup_Performance!D:D,0,-1)</f>
        <v>0.02</v>
      </c>
      <c r="L121" s="8">
        <f t="shared" si="7"/>
        <v>1672.08</v>
      </c>
    </row>
    <row r="122" spans="1:12" x14ac:dyDescent="0.25">
      <c r="A122" t="s">
        <v>140</v>
      </c>
      <c r="B122" t="s">
        <v>275</v>
      </c>
      <c r="C122" t="s">
        <v>24</v>
      </c>
      <c r="D122" s="2">
        <v>42956</v>
      </c>
      <c r="E122" s="14">
        <v>83604</v>
      </c>
      <c r="F122">
        <v>76</v>
      </c>
      <c r="G122" t="s">
        <v>25</v>
      </c>
      <c r="H122" t="str">
        <f>_xlfn.XLOOKUP(C122,Lookup_Departments!A:A,Lookup_Departments!B:B,"Code not Found")</f>
        <v>Sales</v>
      </c>
      <c r="I122">
        <f t="shared" ca="1" si="6"/>
        <v>8</v>
      </c>
      <c r="J122" t="str">
        <f>_xlfn.XLOOKUP(F122,Lookup_Performance!A:A,Lookup_Performance!C:C, "No Band",-1)</f>
        <v>Achieving</v>
      </c>
      <c r="K122" s="9">
        <f>_xlfn.XLOOKUP(F122,Lookup_Performance!A:A,Lookup_Performance!D:D,0,-1)</f>
        <v>0.05</v>
      </c>
      <c r="L122" s="8">
        <f t="shared" si="7"/>
        <v>4180.2</v>
      </c>
    </row>
    <row r="123" spans="1:12" x14ac:dyDescent="0.25">
      <c r="A123" t="s">
        <v>141</v>
      </c>
      <c r="B123" t="s">
        <v>276</v>
      </c>
      <c r="C123" t="s">
        <v>18</v>
      </c>
      <c r="D123" s="2">
        <v>44930</v>
      </c>
      <c r="E123" s="14">
        <v>60623</v>
      </c>
      <c r="F123">
        <v>78</v>
      </c>
      <c r="G123" t="s">
        <v>25</v>
      </c>
      <c r="H123" t="str">
        <f>_xlfn.XLOOKUP(C123,Lookup_Departments!A:A,Lookup_Departments!B:B,"Code not Found")</f>
        <v>Operations</v>
      </c>
      <c r="I123">
        <f t="shared" ca="1" si="6"/>
        <v>3</v>
      </c>
      <c r="J123" t="str">
        <f>_xlfn.XLOOKUP(F123,Lookup_Performance!A:A,Lookup_Performance!C:C, "No Band",-1)</f>
        <v>Achieving</v>
      </c>
      <c r="K123" s="9">
        <f>_xlfn.XLOOKUP(F123,Lookup_Performance!A:A,Lookup_Performance!D:D,0,-1)</f>
        <v>0.05</v>
      </c>
      <c r="L123" s="8">
        <f t="shared" si="7"/>
        <v>3031.15</v>
      </c>
    </row>
    <row r="124" spans="1:12" x14ac:dyDescent="0.25">
      <c r="A124" t="s">
        <v>142</v>
      </c>
      <c r="B124" t="s">
        <v>229</v>
      </c>
      <c r="C124" t="s">
        <v>52</v>
      </c>
      <c r="D124" s="2">
        <v>44053</v>
      </c>
      <c r="E124" s="14">
        <v>68092</v>
      </c>
      <c r="F124">
        <v>93</v>
      </c>
      <c r="G124" t="s">
        <v>25</v>
      </c>
      <c r="H124" t="str">
        <f>_xlfn.XLOOKUP(C124,Lookup_Departments!A:A,Lookup_Departments!B:B,"Code not Found")</f>
        <v>Human Resources</v>
      </c>
      <c r="I124">
        <f t="shared" ca="1" si="6"/>
        <v>5</v>
      </c>
      <c r="J124" t="str">
        <f>_xlfn.XLOOKUP(F124,Lookup_Performance!A:A,Lookup_Performance!C:C, "No Band",-1)</f>
        <v>Exceeding</v>
      </c>
      <c r="K124" s="9">
        <f>_xlfn.XLOOKUP(F124,Lookup_Performance!A:A,Lookup_Performance!D:D,0,-1)</f>
        <v>0.08</v>
      </c>
      <c r="L124" s="8">
        <f t="shared" si="7"/>
        <v>5447.36</v>
      </c>
    </row>
    <row r="125" spans="1:12" x14ac:dyDescent="0.25">
      <c r="A125" t="s">
        <v>143</v>
      </c>
      <c r="B125" t="s">
        <v>210</v>
      </c>
      <c r="C125" t="s">
        <v>10</v>
      </c>
      <c r="D125" s="2">
        <v>44653</v>
      </c>
      <c r="E125" s="14">
        <v>88155</v>
      </c>
      <c r="F125">
        <v>68</v>
      </c>
      <c r="G125" t="s">
        <v>25</v>
      </c>
      <c r="H125" t="str">
        <f>_xlfn.XLOOKUP(C125,Lookup_Departments!A:A,Lookup_Departments!B:B,"Code not Found")</f>
        <v>Marketing</v>
      </c>
      <c r="I125">
        <f t="shared" ca="1" si="6"/>
        <v>4</v>
      </c>
      <c r="J125" t="str">
        <f>_xlfn.XLOOKUP(F125,Lookup_Performance!A:A,Lookup_Performance!C:C, "No Band",-1)</f>
        <v>Developing</v>
      </c>
      <c r="K125" s="9">
        <f>_xlfn.XLOOKUP(F125,Lookup_Performance!A:A,Lookup_Performance!D:D,0,-1)</f>
        <v>0.02</v>
      </c>
      <c r="L125" s="8">
        <f t="shared" si="7"/>
        <v>1763.1000000000001</v>
      </c>
    </row>
    <row r="126" spans="1:12" x14ac:dyDescent="0.25">
      <c r="A126" t="s">
        <v>144</v>
      </c>
      <c r="B126" t="s">
        <v>277</v>
      </c>
      <c r="C126" t="s">
        <v>10</v>
      </c>
      <c r="D126" s="2">
        <v>43183</v>
      </c>
      <c r="E126" s="14">
        <v>107903</v>
      </c>
      <c r="F126">
        <v>42</v>
      </c>
      <c r="G126" t="s">
        <v>25</v>
      </c>
      <c r="H126" t="str">
        <f>_xlfn.XLOOKUP(C126,Lookup_Departments!A:A,Lookup_Departments!B:B,"Code not Found")</f>
        <v>Marketing</v>
      </c>
      <c r="I126">
        <f t="shared" ca="1" si="6"/>
        <v>8</v>
      </c>
      <c r="J126" t="str">
        <f>_xlfn.XLOOKUP(F126,Lookup_Performance!A:A,Lookup_Performance!C:C, "No Band",-1)</f>
        <v>Needs Improvement</v>
      </c>
      <c r="K126" s="9">
        <f>_xlfn.XLOOKUP(F126,Lookup_Performance!A:A,Lookup_Performance!D:D,0,-1)</f>
        <v>0</v>
      </c>
      <c r="L126" s="8">
        <f t="shared" si="7"/>
        <v>0</v>
      </c>
    </row>
    <row r="127" spans="1:12" x14ac:dyDescent="0.25">
      <c r="A127" t="s">
        <v>145</v>
      </c>
      <c r="B127" t="s">
        <v>266</v>
      </c>
      <c r="C127" t="s">
        <v>8</v>
      </c>
      <c r="D127" s="2">
        <v>43305</v>
      </c>
      <c r="E127" s="14">
        <v>62818</v>
      </c>
      <c r="F127">
        <v>34</v>
      </c>
      <c r="G127" t="s">
        <v>25</v>
      </c>
      <c r="H127" t="str">
        <f>_xlfn.XLOOKUP(C127,Lookup_Departments!A:A,Lookup_Departments!B:B,"Code not Found")</f>
        <v>Information Technology</v>
      </c>
      <c r="I127">
        <f t="shared" ca="1" si="6"/>
        <v>7</v>
      </c>
      <c r="J127" t="str">
        <f>_xlfn.XLOOKUP(F127,Lookup_Performance!A:A,Lookup_Performance!C:C, "No Band",-1)</f>
        <v>Needs Improvement</v>
      </c>
      <c r="K127" s="9">
        <f>_xlfn.XLOOKUP(F127,Lookup_Performance!A:A,Lookup_Performance!D:D,0,-1)</f>
        <v>0</v>
      </c>
      <c r="L127" s="8">
        <f t="shared" si="7"/>
        <v>0</v>
      </c>
    </row>
    <row r="128" spans="1:12" x14ac:dyDescent="0.25">
      <c r="A128" t="s">
        <v>146</v>
      </c>
      <c r="B128" t="s">
        <v>254</v>
      </c>
      <c r="C128" t="s">
        <v>52</v>
      </c>
      <c r="D128" s="2">
        <v>43301</v>
      </c>
      <c r="E128" s="14">
        <v>85151</v>
      </c>
      <c r="F128">
        <v>35</v>
      </c>
      <c r="G128" t="s">
        <v>25</v>
      </c>
      <c r="H128" t="str">
        <f>_xlfn.XLOOKUP(C128,Lookup_Departments!A:A,Lookup_Departments!B:B,"Code not Found")</f>
        <v>Human Resources</v>
      </c>
      <c r="I128">
        <f t="shared" ca="1" si="6"/>
        <v>7</v>
      </c>
      <c r="J128" t="str">
        <f>_xlfn.XLOOKUP(F128,Lookup_Performance!A:A,Lookup_Performance!C:C, "No Band",-1)</f>
        <v>Needs Improvement</v>
      </c>
      <c r="K128" s="9">
        <f>_xlfn.XLOOKUP(F128,Lookup_Performance!A:A,Lookup_Performance!D:D,0,-1)</f>
        <v>0</v>
      </c>
      <c r="L128" s="8">
        <f t="shared" si="7"/>
        <v>0</v>
      </c>
    </row>
    <row r="129" spans="1:12" x14ac:dyDescent="0.25">
      <c r="A129" t="s">
        <v>147</v>
      </c>
      <c r="B129" t="s">
        <v>230</v>
      </c>
      <c r="C129" t="s">
        <v>13</v>
      </c>
      <c r="D129" s="2">
        <v>42433</v>
      </c>
      <c r="E129" s="14">
        <v>46390</v>
      </c>
      <c r="F129">
        <v>95</v>
      </c>
      <c r="G129" t="s">
        <v>25</v>
      </c>
      <c r="H129" t="str">
        <f>_xlfn.XLOOKUP(C129,Lookup_Departments!A:A,Lookup_Departments!B:B,"Code not Found")</f>
        <v>Finance</v>
      </c>
      <c r="I129">
        <f t="shared" ca="1" si="6"/>
        <v>10</v>
      </c>
      <c r="J129" t="str">
        <f>_xlfn.XLOOKUP(F129,Lookup_Performance!A:A,Lookup_Performance!C:C, "No Band",-1)</f>
        <v>Outstanding</v>
      </c>
      <c r="K129" s="9">
        <f>_xlfn.XLOOKUP(F129,Lookup_Performance!A:A,Lookup_Performance!D:D,0,-1)</f>
        <v>0.12</v>
      </c>
      <c r="L129" s="8">
        <f t="shared" si="7"/>
        <v>5566.8</v>
      </c>
    </row>
    <row r="130" spans="1:12" x14ac:dyDescent="0.25">
      <c r="A130" t="s">
        <v>148</v>
      </c>
      <c r="B130" t="s">
        <v>190</v>
      </c>
      <c r="C130" t="s">
        <v>52</v>
      </c>
      <c r="D130" s="2">
        <v>44643</v>
      </c>
      <c r="E130" s="14">
        <v>111920</v>
      </c>
      <c r="F130">
        <v>90</v>
      </c>
      <c r="G130" t="s">
        <v>16</v>
      </c>
      <c r="H130" t="str">
        <f>_xlfn.XLOOKUP(C130,Lookup_Departments!A:A,Lookup_Departments!B:B,"Code not Found")</f>
        <v>Human Resources</v>
      </c>
      <c r="I130">
        <f t="shared" ref="I130:I151" ca="1" si="8">DATEDIF(D130,TODAY(),"Y")</f>
        <v>4</v>
      </c>
      <c r="J130" t="str">
        <f>_xlfn.XLOOKUP(F130,Lookup_Performance!A:A,Lookup_Performance!C:C, "No Band",-1)</f>
        <v>Exceeding</v>
      </c>
      <c r="K130" s="9">
        <f>_xlfn.XLOOKUP(F130,Lookup_Performance!A:A,Lookup_Performance!D:D,0,-1)</f>
        <v>0.08</v>
      </c>
      <c r="L130" s="8">
        <f t="shared" ref="L130:L151" si="9">E130*K130</f>
        <v>8953.6</v>
      </c>
    </row>
    <row r="131" spans="1:12" x14ac:dyDescent="0.25">
      <c r="A131" t="s">
        <v>149</v>
      </c>
      <c r="B131" t="s">
        <v>278</v>
      </c>
      <c r="C131" t="s">
        <v>52</v>
      </c>
      <c r="D131" s="2">
        <v>42944</v>
      </c>
      <c r="E131" s="14">
        <v>115618</v>
      </c>
      <c r="F131">
        <v>42</v>
      </c>
      <c r="G131" t="s">
        <v>25</v>
      </c>
      <c r="H131" t="str">
        <f>_xlfn.XLOOKUP(C131,Lookup_Departments!A:A,Lookup_Departments!B:B,"Code not Found")</f>
        <v>Human Resources</v>
      </c>
      <c r="I131">
        <f t="shared" ca="1" si="8"/>
        <v>8</v>
      </c>
      <c r="J131" t="str">
        <f>_xlfn.XLOOKUP(F131,Lookup_Performance!A:A,Lookup_Performance!C:C, "No Band",-1)</f>
        <v>Needs Improvement</v>
      </c>
      <c r="K131" s="9">
        <f>_xlfn.XLOOKUP(F131,Lookup_Performance!A:A,Lookup_Performance!D:D,0,-1)</f>
        <v>0</v>
      </c>
      <c r="L131" s="8">
        <f t="shared" si="9"/>
        <v>0</v>
      </c>
    </row>
    <row r="132" spans="1:12" x14ac:dyDescent="0.25">
      <c r="A132" t="s">
        <v>150</v>
      </c>
      <c r="B132" t="s">
        <v>279</v>
      </c>
      <c r="C132" t="s">
        <v>24</v>
      </c>
      <c r="D132" s="2">
        <v>45057</v>
      </c>
      <c r="E132" s="14">
        <v>110618</v>
      </c>
      <c r="F132">
        <v>88</v>
      </c>
      <c r="G132" t="s">
        <v>62</v>
      </c>
      <c r="H132" t="str">
        <f>_xlfn.XLOOKUP(C132,Lookup_Departments!A:A,Lookup_Departments!B:B,"Code not Found")</f>
        <v>Sales</v>
      </c>
      <c r="I132">
        <f t="shared" ca="1" si="8"/>
        <v>3</v>
      </c>
      <c r="J132" t="str">
        <f>_xlfn.XLOOKUP(F132,Lookup_Performance!A:A,Lookup_Performance!C:C, "No Band",-1)</f>
        <v>Exceeding</v>
      </c>
      <c r="K132" s="9">
        <f>_xlfn.XLOOKUP(F132,Lookup_Performance!A:A,Lookup_Performance!D:D,0,-1)</f>
        <v>0.08</v>
      </c>
      <c r="L132" s="8">
        <f t="shared" si="9"/>
        <v>8849.44</v>
      </c>
    </row>
    <row r="133" spans="1:12" x14ac:dyDescent="0.25">
      <c r="A133" t="s">
        <v>151</v>
      </c>
      <c r="B133" t="s">
        <v>280</v>
      </c>
      <c r="C133" t="s">
        <v>18</v>
      </c>
      <c r="D133" s="2">
        <v>44639</v>
      </c>
      <c r="E133" s="14">
        <v>108395</v>
      </c>
      <c r="F133">
        <v>78</v>
      </c>
      <c r="G133" t="s">
        <v>16</v>
      </c>
      <c r="H133" t="str">
        <f>_xlfn.XLOOKUP(C133,Lookup_Departments!A:A,Lookup_Departments!B:B,"Code not Found")</f>
        <v>Operations</v>
      </c>
      <c r="I133">
        <f t="shared" ca="1" si="8"/>
        <v>4</v>
      </c>
      <c r="J133" t="str">
        <f>_xlfn.XLOOKUP(F133,Lookup_Performance!A:A,Lookup_Performance!C:C, "No Band",-1)</f>
        <v>Achieving</v>
      </c>
      <c r="K133" s="9">
        <f>_xlfn.XLOOKUP(F133,Lookup_Performance!A:A,Lookup_Performance!D:D,0,-1)</f>
        <v>0.05</v>
      </c>
      <c r="L133" s="8">
        <f t="shared" si="9"/>
        <v>5419.75</v>
      </c>
    </row>
    <row r="134" spans="1:12" x14ac:dyDescent="0.25">
      <c r="A134" t="s">
        <v>152</v>
      </c>
      <c r="B134" t="s">
        <v>226</v>
      </c>
      <c r="C134" t="s">
        <v>13</v>
      </c>
      <c r="D134" s="2">
        <v>43091</v>
      </c>
      <c r="E134" s="14">
        <v>88005</v>
      </c>
      <c r="F134">
        <v>69</v>
      </c>
      <c r="G134" t="s">
        <v>25</v>
      </c>
      <c r="H134" t="str">
        <f>_xlfn.XLOOKUP(C134,Lookup_Departments!A:A,Lookup_Departments!B:B,"Code not Found")</f>
        <v>Finance</v>
      </c>
      <c r="I134">
        <f t="shared" ca="1" si="8"/>
        <v>8</v>
      </c>
      <c r="J134" t="str">
        <f>_xlfn.XLOOKUP(F134,Lookup_Performance!A:A,Lookup_Performance!C:C, "No Band",-1)</f>
        <v>Developing</v>
      </c>
      <c r="K134" s="9">
        <f>_xlfn.XLOOKUP(F134,Lookup_Performance!A:A,Lookup_Performance!D:D,0,-1)</f>
        <v>0.02</v>
      </c>
      <c r="L134" s="8">
        <f t="shared" si="9"/>
        <v>1760.1000000000001</v>
      </c>
    </row>
    <row r="135" spans="1:12" x14ac:dyDescent="0.25">
      <c r="A135" t="s">
        <v>153</v>
      </c>
      <c r="B135" t="s">
        <v>281</v>
      </c>
      <c r="C135" t="s">
        <v>10</v>
      </c>
      <c r="D135" s="2">
        <v>44437</v>
      </c>
      <c r="E135" s="14">
        <v>83007</v>
      </c>
      <c r="F135">
        <v>82</v>
      </c>
      <c r="G135" t="s">
        <v>25</v>
      </c>
      <c r="H135" t="str">
        <f>_xlfn.XLOOKUP(C135,Lookup_Departments!A:A,Lookup_Departments!B:B,"Code not Found")</f>
        <v>Marketing</v>
      </c>
      <c r="I135">
        <f t="shared" ca="1" si="8"/>
        <v>4</v>
      </c>
      <c r="J135" t="str">
        <f>_xlfn.XLOOKUP(F135,Lookup_Performance!A:A,Lookup_Performance!C:C, "No Band",-1)</f>
        <v>Achieving</v>
      </c>
      <c r="K135" s="9">
        <f>_xlfn.XLOOKUP(F135,Lookup_Performance!A:A,Lookup_Performance!D:D,0,-1)</f>
        <v>0.05</v>
      </c>
      <c r="L135" s="8">
        <f t="shared" si="9"/>
        <v>4150.3500000000004</v>
      </c>
    </row>
    <row r="136" spans="1:12" x14ac:dyDescent="0.25">
      <c r="A136" t="s">
        <v>154</v>
      </c>
      <c r="B136" t="s">
        <v>282</v>
      </c>
      <c r="C136" t="s">
        <v>8</v>
      </c>
      <c r="D136" s="2">
        <v>43360</v>
      </c>
      <c r="E136" s="14">
        <v>61547</v>
      </c>
      <c r="F136">
        <v>68</v>
      </c>
      <c r="G136" t="s">
        <v>25</v>
      </c>
      <c r="H136" t="str">
        <f>_xlfn.XLOOKUP(C136,Lookup_Departments!A:A,Lookup_Departments!B:B,"Code not Found")</f>
        <v>Information Technology</v>
      </c>
      <c r="I136">
        <f t="shared" ca="1" si="8"/>
        <v>7</v>
      </c>
      <c r="J136" t="str">
        <f>_xlfn.XLOOKUP(F136,Lookup_Performance!A:A,Lookup_Performance!C:C, "No Band",-1)</f>
        <v>Developing</v>
      </c>
      <c r="K136" s="9">
        <f>_xlfn.XLOOKUP(F136,Lookup_Performance!A:A,Lookup_Performance!D:D,0,-1)</f>
        <v>0.02</v>
      </c>
      <c r="L136" s="8">
        <f t="shared" si="9"/>
        <v>1230.94</v>
      </c>
    </row>
    <row r="137" spans="1:12" x14ac:dyDescent="0.25">
      <c r="A137" t="s">
        <v>155</v>
      </c>
      <c r="B137" t="s">
        <v>283</v>
      </c>
      <c r="C137" t="s">
        <v>24</v>
      </c>
      <c r="D137" s="2">
        <v>44375</v>
      </c>
      <c r="E137" s="14">
        <v>83604</v>
      </c>
      <c r="F137">
        <v>52</v>
      </c>
      <c r="G137" t="s">
        <v>25</v>
      </c>
      <c r="H137" t="str">
        <f>_xlfn.XLOOKUP(C137,Lookup_Departments!A:A,Lookup_Departments!B:B,"Code not Found")</f>
        <v>Sales</v>
      </c>
      <c r="I137">
        <f t="shared" ca="1" si="8"/>
        <v>5</v>
      </c>
      <c r="J137" t="str">
        <f>_xlfn.XLOOKUP(F137,Lookup_Performance!A:A,Lookup_Performance!C:C, "No Band",-1)</f>
        <v>Developing</v>
      </c>
      <c r="K137" s="9">
        <f>_xlfn.XLOOKUP(F137,Lookup_Performance!A:A,Lookup_Performance!D:D,0,-1)</f>
        <v>0.02</v>
      </c>
      <c r="L137" s="8">
        <f t="shared" si="9"/>
        <v>1672.08</v>
      </c>
    </row>
    <row r="138" spans="1:12" x14ac:dyDescent="0.25">
      <c r="A138" t="s">
        <v>156</v>
      </c>
      <c r="B138" t="s">
        <v>284</v>
      </c>
      <c r="C138" t="s">
        <v>18</v>
      </c>
      <c r="D138" s="2">
        <v>43011</v>
      </c>
      <c r="E138" s="14">
        <v>50399</v>
      </c>
      <c r="F138">
        <v>92</v>
      </c>
      <c r="G138" t="s">
        <v>16</v>
      </c>
      <c r="H138" t="str">
        <f>_xlfn.XLOOKUP(C138,Lookup_Departments!A:A,Lookup_Departments!B:B,"Code not Found")</f>
        <v>Operations</v>
      </c>
      <c r="I138">
        <f t="shared" ca="1" si="8"/>
        <v>8</v>
      </c>
      <c r="J138" t="str">
        <f>_xlfn.XLOOKUP(F138,Lookup_Performance!A:A,Lookup_Performance!C:C, "No Band",-1)</f>
        <v>Exceeding</v>
      </c>
      <c r="K138" s="9">
        <f>_xlfn.XLOOKUP(F138,Lookup_Performance!A:A,Lookup_Performance!D:D,0,-1)</f>
        <v>0.08</v>
      </c>
      <c r="L138" s="8">
        <f t="shared" si="9"/>
        <v>4031.92</v>
      </c>
    </row>
    <row r="139" spans="1:12" x14ac:dyDescent="0.25">
      <c r="A139" t="s">
        <v>157</v>
      </c>
      <c r="B139" t="s">
        <v>285</v>
      </c>
      <c r="C139" t="s">
        <v>13</v>
      </c>
      <c r="D139" s="2">
        <v>42299</v>
      </c>
      <c r="E139" s="14">
        <v>83604</v>
      </c>
      <c r="F139">
        <v>62</v>
      </c>
      <c r="G139" t="s">
        <v>25</v>
      </c>
      <c r="H139" t="str">
        <f>_xlfn.XLOOKUP(C139,Lookup_Departments!A:A,Lookup_Departments!B:B,"Code not Found")</f>
        <v>Finance</v>
      </c>
      <c r="I139">
        <f t="shared" ca="1" si="8"/>
        <v>10</v>
      </c>
      <c r="J139" t="str">
        <f>_xlfn.XLOOKUP(F139,Lookup_Performance!A:A,Lookup_Performance!C:C, "No Band",-1)</f>
        <v>Developing</v>
      </c>
      <c r="K139" s="9">
        <f>_xlfn.XLOOKUP(F139,Lookup_Performance!A:A,Lookup_Performance!D:D,0,-1)</f>
        <v>0.02</v>
      </c>
      <c r="L139" s="8">
        <f t="shared" si="9"/>
        <v>1672.08</v>
      </c>
    </row>
    <row r="140" spans="1:12" x14ac:dyDescent="0.25">
      <c r="A140" t="s">
        <v>158</v>
      </c>
      <c r="B140" t="s">
        <v>286</v>
      </c>
      <c r="C140" t="s">
        <v>18</v>
      </c>
      <c r="D140" s="2">
        <v>43257</v>
      </c>
      <c r="E140" s="14">
        <v>52720</v>
      </c>
      <c r="F140">
        <v>68</v>
      </c>
      <c r="G140" t="s">
        <v>25</v>
      </c>
      <c r="H140" t="str">
        <f>_xlfn.XLOOKUP(C140,Lookup_Departments!A:A,Lookup_Departments!B:B,"Code not Found")</f>
        <v>Operations</v>
      </c>
      <c r="I140">
        <f t="shared" ca="1" si="8"/>
        <v>8</v>
      </c>
      <c r="J140" t="str">
        <f>_xlfn.XLOOKUP(F140,Lookup_Performance!A:A,Lookup_Performance!C:C, "No Band",-1)</f>
        <v>Developing</v>
      </c>
      <c r="K140" s="9">
        <f>_xlfn.XLOOKUP(F140,Lookup_Performance!A:A,Lookup_Performance!D:D,0,-1)</f>
        <v>0.02</v>
      </c>
      <c r="L140" s="8">
        <f t="shared" si="9"/>
        <v>1054.4000000000001</v>
      </c>
    </row>
    <row r="141" spans="1:12" x14ac:dyDescent="0.25">
      <c r="A141" t="s">
        <v>159</v>
      </c>
      <c r="B141" t="s">
        <v>287</v>
      </c>
      <c r="C141" t="s">
        <v>18</v>
      </c>
      <c r="D141" s="2">
        <v>42932</v>
      </c>
      <c r="E141" s="14">
        <v>65065</v>
      </c>
      <c r="F141">
        <v>98</v>
      </c>
      <c r="G141" t="s">
        <v>25</v>
      </c>
      <c r="H141" t="str">
        <f>_xlfn.XLOOKUP(C141,Lookup_Departments!A:A,Lookup_Departments!B:B,"Code not Found")</f>
        <v>Operations</v>
      </c>
      <c r="I141">
        <f t="shared" ca="1" si="8"/>
        <v>8</v>
      </c>
      <c r="J141" t="str">
        <f>_xlfn.XLOOKUP(F141,Lookup_Performance!A:A,Lookup_Performance!C:C, "No Band",-1)</f>
        <v>Outstanding</v>
      </c>
      <c r="K141" s="9">
        <f>_xlfn.XLOOKUP(F141,Lookup_Performance!A:A,Lookup_Performance!D:D,0,-1)</f>
        <v>0.12</v>
      </c>
      <c r="L141" s="8">
        <f t="shared" si="9"/>
        <v>7807.7999999999993</v>
      </c>
    </row>
    <row r="142" spans="1:12" x14ac:dyDescent="0.25">
      <c r="A142" t="s">
        <v>160</v>
      </c>
      <c r="B142" t="s">
        <v>280</v>
      </c>
      <c r="C142" t="s">
        <v>24</v>
      </c>
      <c r="D142" s="2">
        <v>42175</v>
      </c>
      <c r="E142" s="14">
        <v>83604</v>
      </c>
      <c r="F142">
        <v>94</v>
      </c>
      <c r="G142" t="s">
        <v>62</v>
      </c>
      <c r="H142" t="str">
        <f>_xlfn.XLOOKUP(C142,Lookup_Departments!A:A,Lookup_Departments!B:B,"Code not Found")</f>
        <v>Sales</v>
      </c>
      <c r="I142">
        <f t="shared" ca="1" si="8"/>
        <v>11</v>
      </c>
      <c r="J142" t="str">
        <f>_xlfn.XLOOKUP(F142,Lookup_Performance!A:A,Lookup_Performance!C:C, "No Band",-1)</f>
        <v>Exceeding</v>
      </c>
      <c r="K142" s="9">
        <f>_xlfn.XLOOKUP(F142,Lookup_Performance!A:A,Lookup_Performance!D:D,0,-1)</f>
        <v>0.08</v>
      </c>
      <c r="L142" s="8">
        <f t="shared" si="9"/>
        <v>6688.32</v>
      </c>
    </row>
    <row r="143" spans="1:12" x14ac:dyDescent="0.25">
      <c r="A143" t="s">
        <v>161</v>
      </c>
      <c r="B143" t="s">
        <v>280</v>
      </c>
      <c r="C143" t="s">
        <v>18</v>
      </c>
      <c r="D143" s="2">
        <v>43609</v>
      </c>
      <c r="E143" s="14">
        <v>108119</v>
      </c>
      <c r="F143">
        <v>57</v>
      </c>
      <c r="G143" t="s">
        <v>62</v>
      </c>
      <c r="H143" t="str">
        <f>_xlfn.XLOOKUP(C143,Lookup_Departments!A:A,Lookup_Departments!B:B,"Code not Found")</f>
        <v>Operations</v>
      </c>
      <c r="I143">
        <f t="shared" ca="1" si="8"/>
        <v>7</v>
      </c>
      <c r="J143" t="str">
        <f>_xlfn.XLOOKUP(F143,Lookup_Performance!A:A,Lookup_Performance!C:C, "No Band",-1)</f>
        <v>Developing</v>
      </c>
      <c r="K143" s="9">
        <f>_xlfn.XLOOKUP(F143,Lookup_Performance!A:A,Lookup_Performance!D:D,0,-1)</f>
        <v>0.02</v>
      </c>
      <c r="L143" s="8">
        <f t="shared" si="9"/>
        <v>2162.38</v>
      </c>
    </row>
    <row r="144" spans="1:12" x14ac:dyDescent="0.25">
      <c r="A144" t="s">
        <v>162</v>
      </c>
      <c r="B144" t="s">
        <v>228</v>
      </c>
      <c r="C144" t="s">
        <v>8</v>
      </c>
      <c r="D144" s="2">
        <v>43887</v>
      </c>
      <c r="E144" s="14">
        <v>83604</v>
      </c>
      <c r="F144">
        <v>96</v>
      </c>
      <c r="G144" t="s">
        <v>25</v>
      </c>
      <c r="H144" t="str">
        <f>_xlfn.XLOOKUP(C144,Lookup_Departments!A:A,Lookup_Departments!B:B,"Code not Found")</f>
        <v>Information Technology</v>
      </c>
      <c r="I144">
        <f t="shared" ca="1" si="8"/>
        <v>6</v>
      </c>
      <c r="J144" t="str">
        <f>_xlfn.XLOOKUP(F144,Lookup_Performance!A:A,Lookup_Performance!C:C, "No Band",-1)</f>
        <v>Outstanding</v>
      </c>
      <c r="K144" s="9">
        <f>_xlfn.XLOOKUP(F144,Lookup_Performance!A:A,Lookup_Performance!D:D,0,-1)</f>
        <v>0.12</v>
      </c>
      <c r="L144" s="8">
        <f t="shared" si="9"/>
        <v>10032.48</v>
      </c>
    </row>
    <row r="145" spans="1:12" x14ac:dyDescent="0.25">
      <c r="A145" t="s">
        <v>163</v>
      </c>
      <c r="B145" t="s">
        <v>231</v>
      </c>
      <c r="C145" t="s">
        <v>52</v>
      </c>
      <c r="D145" s="2">
        <v>44991</v>
      </c>
      <c r="E145" s="14">
        <v>106896</v>
      </c>
      <c r="F145">
        <v>52</v>
      </c>
      <c r="G145" t="s">
        <v>16</v>
      </c>
      <c r="H145" t="str">
        <f>_xlfn.XLOOKUP(C145,Lookup_Departments!A:A,Lookup_Departments!B:B,"Code not Found")</f>
        <v>Human Resources</v>
      </c>
      <c r="I145">
        <f t="shared" ca="1" si="8"/>
        <v>3</v>
      </c>
      <c r="J145" t="str">
        <f>_xlfn.XLOOKUP(F145,Lookup_Performance!A:A,Lookup_Performance!C:C, "No Band",-1)</f>
        <v>Developing</v>
      </c>
      <c r="K145" s="9">
        <f>_xlfn.XLOOKUP(F145,Lookup_Performance!A:A,Lookup_Performance!D:D,0,-1)</f>
        <v>0.02</v>
      </c>
      <c r="L145" s="8">
        <f t="shared" si="9"/>
        <v>2137.92</v>
      </c>
    </row>
    <row r="146" spans="1:12" x14ac:dyDescent="0.25">
      <c r="A146" t="s">
        <v>164</v>
      </c>
      <c r="B146" t="s">
        <v>32</v>
      </c>
      <c r="C146" t="s">
        <v>8</v>
      </c>
      <c r="D146" s="2">
        <v>43477</v>
      </c>
      <c r="E146" s="14">
        <v>112887</v>
      </c>
      <c r="F146">
        <v>59</v>
      </c>
      <c r="G146" t="s">
        <v>25</v>
      </c>
      <c r="H146" t="str">
        <f>_xlfn.XLOOKUP(C146,Lookup_Departments!A:A,Lookup_Departments!B:B,"Code not Found")</f>
        <v>Information Technology</v>
      </c>
      <c r="I146">
        <f t="shared" ca="1" si="8"/>
        <v>7</v>
      </c>
      <c r="J146" t="str">
        <f>_xlfn.XLOOKUP(F146,Lookup_Performance!A:A,Lookup_Performance!C:C, "No Band",-1)</f>
        <v>Developing</v>
      </c>
      <c r="K146" s="9">
        <f>_xlfn.XLOOKUP(F146,Lookup_Performance!A:A,Lookup_Performance!D:D,0,-1)</f>
        <v>0.02</v>
      </c>
      <c r="L146" s="8">
        <f t="shared" si="9"/>
        <v>2257.7400000000002</v>
      </c>
    </row>
    <row r="147" spans="1:12" x14ac:dyDescent="0.25">
      <c r="A147" t="s">
        <v>165</v>
      </c>
      <c r="B147" t="s">
        <v>288</v>
      </c>
      <c r="C147" t="s">
        <v>13</v>
      </c>
      <c r="D147" s="2">
        <v>45037</v>
      </c>
      <c r="E147" s="14">
        <v>85457</v>
      </c>
      <c r="F147">
        <v>79</v>
      </c>
      <c r="G147" t="s">
        <v>25</v>
      </c>
      <c r="H147" t="str">
        <f>_xlfn.XLOOKUP(C147,Lookup_Departments!A:A,Lookup_Departments!B:B,"Code not Found")</f>
        <v>Finance</v>
      </c>
      <c r="I147">
        <f t="shared" ca="1" si="8"/>
        <v>3</v>
      </c>
      <c r="J147" t="str">
        <f>_xlfn.XLOOKUP(F147,Lookup_Performance!A:A,Lookup_Performance!C:C, "No Band",-1)</f>
        <v>Achieving</v>
      </c>
      <c r="K147" s="9">
        <f>_xlfn.XLOOKUP(F147,Lookup_Performance!A:A,Lookup_Performance!D:D,0,-1)</f>
        <v>0.05</v>
      </c>
      <c r="L147" s="8">
        <f t="shared" si="9"/>
        <v>4272.8500000000004</v>
      </c>
    </row>
    <row r="148" spans="1:12" x14ac:dyDescent="0.25">
      <c r="A148" t="s">
        <v>166</v>
      </c>
      <c r="B148" t="s">
        <v>289</v>
      </c>
      <c r="C148" t="s">
        <v>24</v>
      </c>
      <c r="D148" s="2">
        <v>42519</v>
      </c>
      <c r="E148" s="14">
        <v>62798</v>
      </c>
      <c r="F148">
        <v>30</v>
      </c>
      <c r="G148" t="s">
        <v>25</v>
      </c>
      <c r="H148" t="str">
        <f>_xlfn.XLOOKUP(C148,Lookup_Departments!A:A,Lookup_Departments!B:B,"Code not Found")</f>
        <v>Sales</v>
      </c>
      <c r="I148">
        <f t="shared" ca="1" si="8"/>
        <v>10</v>
      </c>
      <c r="J148" t="str">
        <f>_xlfn.XLOOKUP(F148,Lookup_Performance!A:A,Lookup_Performance!C:C, "No Band",-1)</f>
        <v>Needs Improvement</v>
      </c>
      <c r="K148" s="9">
        <f>_xlfn.XLOOKUP(F148,Lookup_Performance!A:A,Lookup_Performance!D:D,0,-1)</f>
        <v>0</v>
      </c>
      <c r="L148" s="8">
        <f t="shared" si="9"/>
        <v>0</v>
      </c>
    </row>
    <row r="149" spans="1:12" x14ac:dyDescent="0.25">
      <c r="A149" t="s">
        <v>167</v>
      </c>
      <c r="B149" t="s">
        <v>290</v>
      </c>
      <c r="C149" t="s">
        <v>18</v>
      </c>
      <c r="D149" s="2">
        <v>44711</v>
      </c>
      <c r="E149" s="14">
        <v>47794</v>
      </c>
      <c r="F149">
        <v>73</v>
      </c>
      <c r="G149" t="s">
        <v>16</v>
      </c>
      <c r="H149" t="str">
        <f>_xlfn.XLOOKUP(C149,Lookup_Departments!A:A,Lookup_Departments!B:B,"Code not Found")</f>
        <v>Operations</v>
      </c>
      <c r="I149">
        <f t="shared" ca="1" si="8"/>
        <v>4</v>
      </c>
      <c r="J149" t="str">
        <f>_xlfn.XLOOKUP(F149,Lookup_Performance!A:A,Lookup_Performance!C:C, "No Band",-1)</f>
        <v>Achieving</v>
      </c>
      <c r="K149" s="9">
        <f>_xlfn.XLOOKUP(F149,Lookup_Performance!A:A,Lookup_Performance!D:D,0,-1)</f>
        <v>0.05</v>
      </c>
      <c r="L149" s="8">
        <f t="shared" si="9"/>
        <v>2389.7000000000003</v>
      </c>
    </row>
    <row r="150" spans="1:12" x14ac:dyDescent="0.25">
      <c r="A150" t="s">
        <v>168</v>
      </c>
      <c r="B150" t="s">
        <v>272</v>
      </c>
      <c r="C150" t="s">
        <v>10</v>
      </c>
      <c r="D150" s="2">
        <v>42677</v>
      </c>
      <c r="E150" s="14">
        <v>93094</v>
      </c>
      <c r="F150">
        <v>74</v>
      </c>
      <c r="G150" t="s">
        <v>25</v>
      </c>
      <c r="H150" t="str">
        <f>_xlfn.XLOOKUP(C150,Lookup_Departments!A:A,Lookup_Departments!B:B,"Code not Found")</f>
        <v>Marketing</v>
      </c>
      <c r="I150">
        <f t="shared" ca="1" si="8"/>
        <v>9</v>
      </c>
      <c r="J150" t="str">
        <f>_xlfn.XLOOKUP(F150,Lookup_Performance!A:A,Lookup_Performance!C:C, "No Band",-1)</f>
        <v>Achieving</v>
      </c>
      <c r="K150" s="9">
        <f>_xlfn.XLOOKUP(F150,Lookup_Performance!A:A,Lookup_Performance!D:D,0,-1)</f>
        <v>0.05</v>
      </c>
      <c r="L150" s="8">
        <f t="shared" si="9"/>
        <v>4654.7</v>
      </c>
    </row>
    <row r="151" spans="1:12" x14ac:dyDescent="0.25">
      <c r="A151" t="s">
        <v>169</v>
      </c>
      <c r="B151" t="s">
        <v>269</v>
      </c>
      <c r="C151" t="s">
        <v>8</v>
      </c>
      <c r="D151" s="2">
        <v>44848</v>
      </c>
      <c r="E151" s="14">
        <v>118634</v>
      </c>
      <c r="F151">
        <v>91</v>
      </c>
      <c r="G151" t="s">
        <v>25</v>
      </c>
      <c r="H151" t="str">
        <f>_xlfn.XLOOKUP(C151,Lookup_Departments!A:A,Lookup_Departments!B:B,"Code not Found")</f>
        <v>Information Technology</v>
      </c>
      <c r="I151">
        <f t="shared" ca="1" si="8"/>
        <v>3</v>
      </c>
      <c r="J151" t="str">
        <f>_xlfn.XLOOKUP(F151,Lookup_Performance!A:A,Lookup_Performance!C:C, "No Band",-1)</f>
        <v>Exceeding</v>
      </c>
      <c r="K151" s="9">
        <f>_xlfn.XLOOKUP(F151,Lookup_Performance!A:A,Lookup_Performance!D:D,0,-1)</f>
        <v>0.08</v>
      </c>
      <c r="L151" s="8">
        <f t="shared" si="9"/>
        <v>9490.7199999999993</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5983-4E19-44BF-BA74-67F76ED0A780}">
  <dimension ref="A1:AJ21"/>
  <sheetViews>
    <sheetView showGridLines="0" tabSelected="1" zoomScale="87" zoomScaleNormal="87" workbookViewId="0">
      <selection activeCell="F9" sqref="F9"/>
    </sheetView>
  </sheetViews>
  <sheetFormatPr defaultRowHeight="15" x14ac:dyDescent="0.25"/>
  <cols>
    <col min="30" max="30" width="22.5703125" bestFit="1" customWidth="1"/>
    <col min="31" max="31" width="16.42578125" bestFit="1" customWidth="1"/>
    <col min="32" max="32" width="11.42578125" bestFit="1" customWidth="1"/>
    <col min="33" max="33" width="21" bestFit="1" customWidth="1"/>
    <col min="34" max="34" width="20.85546875" bestFit="1" customWidth="1"/>
    <col min="35" max="35" width="7.5703125" bestFit="1" customWidth="1"/>
  </cols>
  <sheetData>
    <row r="1" spans="1:36" ht="18.75" x14ac:dyDescent="0.3">
      <c r="A1" s="17"/>
      <c r="B1" s="18"/>
      <c r="C1" s="18"/>
      <c r="D1" s="18"/>
      <c r="I1" s="19" t="s">
        <v>308</v>
      </c>
      <c r="J1" s="20"/>
      <c r="K1" s="20"/>
      <c r="L1" s="20"/>
      <c r="AD1" s="7" t="s">
        <v>299</v>
      </c>
      <c r="AE1" t="s">
        <v>297</v>
      </c>
      <c r="AF1" t="s">
        <v>298</v>
      </c>
      <c r="AG1" s="7" t="s">
        <v>298</v>
      </c>
      <c r="AH1" s="7" t="s">
        <v>300</v>
      </c>
    </row>
    <row r="2" spans="1:36" x14ac:dyDescent="0.25">
      <c r="AD2" s="4" t="s">
        <v>174</v>
      </c>
      <c r="AE2" s="8">
        <v>87173.588235294112</v>
      </c>
      <c r="AF2" s="26">
        <v>17</v>
      </c>
      <c r="AG2" s="7" t="s">
        <v>299</v>
      </c>
      <c r="AH2" t="s">
        <v>25</v>
      </c>
      <c r="AI2" t="s">
        <v>16</v>
      </c>
      <c r="AJ2" t="s">
        <v>62</v>
      </c>
    </row>
    <row r="3" spans="1:36" x14ac:dyDescent="0.25">
      <c r="B3" s="21"/>
      <c r="C3" s="21"/>
      <c r="D3" s="21"/>
      <c r="AD3" s="4" t="s">
        <v>172</v>
      </c>
      <c r="AE3" s="8">
        <v>85536.277777777781</v>
      </c>
      <c r="AF3" s="26">
        <v>18</v>
      </c>
      <c r="AG3" s="4" t="s">
        <v>174</v>
      </c>
      <c r="AH3" s="10">
        <v>0.82352941176470584</v>
      </c>
      <c r="AI3" s="10">
        <v>0.17647058823529413</v>
      </c>
      <c r="AJ3" s="9">
        <v>0</v>
      </c>
    </row>
    <row r="4" spans="1:36" ht="21" x14ac:dyDescent="0.35">
      <c r="B4" s="22" t="s">
        <v>309</v>
      </c>
      <c r="C4" s="21"/>
      <c r="D4" s="21"/>
      <c r="AD4" s="4" t="s">
        <v>173</v>
      </c>
      <c r="AE4" s="8">
        <v>80512.833333333328</v>
      </c>
      <c r="AF4" s="26">
        <v>36</v>
      </c>
      <c r="AG4" s="4" t="s">
        <v>172</v>
      </c>
      <c r="AH4" s="10">
        <v>0.83333333333333337</v>
      </c>
      <c r="AI4" s="10">
        <v>0.1111111111111111</v>
      </c>
      <c r="AJ4" s="9">
        <v>5.5555555555555552E-2</v>
      </c>
    </row>
    <row r="5" spans="1:36" ht="18.75" x14ac:dyDescent="0.3">
      <c r="B5" s="23">
        <v>150</v>
      </c>
      <c r="C5" s="21"/>
      <c r="D5" s="21"/>
      <c r="AD5" s="4" t="s">
        <v>175</v>
      </c>
      <c r="AE5" s="8">
        <v>85407.947368421053</v>
      </c>
      <c r="AF5" s="26">
        <v>19</v>
      </c>
      <c r="AG5" s="4" t="s">
        <v>173</v>
      </c>
      <c r="AH5" s="10">
        <v>0.77777777777777779</v>
      </c>
      <c r="AI5" s="10">
        <v>0.16666666666666666</v>
      </c>
      <c r="AJ5" s="9">
        <v>5.5555555555555552E-2</v>
      </c>
    </row>
    <row r="6" spans="1:36" x14ac:dyDescent="0.25">
      <c r="B6" s="21"/>
      <c r="C6" s="21"/>
      <c r="D6" s="21"/>
      <c r="F6" t="s">
        <v>314</v>
      </c>
      <c r="AD6" s="4" t="s">
        <v>177</v>
      </c>
      <c r="AE6" s="8">
        <v>80049.931034482754</v>
      </c>
      <c r="AF6" s="26">
        <v>29</v>
      </c>
      <c r="AG6" s="4" t="s">
        <v>175</v>
      </c>
      <c r="AH6" s="10">
        <v>0.84210526315789469</v>
      </c>
      <c r="AI6" s="10">
        <v>0.15789473684210525</v>
      </c>
      <c r="AJ6" s="9">
        <v>0</v>
      </c>
    </row>
    <row r="7" spans="1:36" x14ac:dyDescent="0.25">
      <c r="B7" s="21"/>
      <c r="C7" s="21"/>
      <c r="D7" s="21"/>
      <c r="F7" t="s">
        <v>316</v>
      </c>
      <c r="AD7" s="4" t="s">
        <v>176</v>
      </c>
      <c r="AE7" s="8">
        <v>86333.096774193546</v>
      </c>
      <c r="AF7" s="26">
        <v>31</v>
      </c>
      <c r="AG7" s="4" t="s">
        <v>177</v>
      </c>
      <c r="AH7" s="10">
        <v>0.62068965517241381</v>
      </c>
      <c r="AI7" s="10">
        <v>0.20689655172413793</v>
      </c>
      <c r="AJ7" s="9">
        <v>0.17241379310344829</v>
      </c>
    </row>
    <row r="8" spans="1:36" x14ac:dyDescent="0.25">
      <c r="F8" t="s">
        <v>315</v>
      </c>
      <c r="AD8" s="4" t="s">
        <v>296</v>
      </c>
      <c r="AE8" s="8">
        <v>83603.94</v>
      </c>
      <c r="AF8" s="26">
        <v>150</v>
      </c>
      <c r="AG8" s="4" t="s">
        <v>176</v>
      </c>
      <c r="AH8" s="10">
        <v>0.80645161290322576</v>
      </c>
      <c r="AI8" s="10">
        <v>0.12903225806451613</v>
      </c>
      <c r="AJ8" s="9">
        <v>6.4516129032258063E-2</v>
      </c>
    </row>
    <row r="9" spans="1:36" x14ac:dyDescent="0.25">
      <c r="F9" t="s">
        <v>317</v>
      </c>
      <c r="AD9" s="7" t="s">
        <v>294</v>
      </c>
      <c r="AE9" t="s">
        <v>303</v>
      </c>
      <c r="AG9" s="4" t="s">
        <v>296</v>
      </c>
      <c r="AH9" s="9">
        <v>0.77333333333333332</v>
      </c>
      <c r="AI9" s="9">
        <v>0.16</v>
      </c>
      <c r="AJ9" s="9">
        <v>6.6666666666666666E-2</v>
      </c>
    </row>
    <row r="10" spans="1:36" x14ac:dyDescent="0.25">
      <c r="B10" s="21"/>
      <c r="C10" s="21"/>
      <c r="D10" s="21"/>
      <c r="AD10" s="4" t="s">
        <v>184</v>
      </c>
      <c r="AE10" s="8">
        <v>165216.95000000004</v>
      </c>
      <c r="AG10" s="7" t="s">
        <v>5</v>
      </c>
      <c r="AH10" t="s">
        <v>301</v>
      </c>
    </row>
    <row r="11" spans="1:36" ht="21" x14ac:dyDescent="0.35">
      <c r="B11" s="22" t="s">
        <v>310</v>
      </c>
      <c r="C11" s="21"/>
      <c r="D11" s="21"/>
      <c r="AD11" s="4" t="s">
        <v>183</v>
      </c>
      <c r="AE11" s="8">
        <v>84593.280000000028</v>
      </c>
      <c r="AG11" s="4" t="s">
        <v>25</v>
      </c>
      <c r="AH11" s="11">
        <v>67.741379310344826</v>
      </c>
    </row>
    <row r="12" spans="1:36" ht="18.75" x14ac:dyDescent="0.3">
      <c r="B12" s="23">
        <f>AVERAGE(Table2[Salary])</f>
        <v>83603.94</v>
      </c>
      <c r="C12" s="21"/>
      <c r="D12" s="21"/>
      <c r="AD12" s="4" t="s">
        <v>185</v>
      </c>
      <c r="AE12" s="8">
        <v>144689.44</v>
      </c>
      <c r="AG12" s="4" t="s">
        <v>16</v>
      </c>
      <c r="AH12" s="11">
        <v>66.208333333333329</v>
      </c>
    </row>
    <row r="13" spans="1:36" x14ac:dyDescent="0.25">
      <c r="B13" s="21"/>
      <c r="C13" s="21"/>
      <c r="D13" s="21"/>
      <c r="AD13" s="4" t="s">
        <v>182</v>
      </c>
      <c r="AE13" s="8">
        <v>0</v>
      </c>
      <c r="AG13" s="4" t="s">
        <v>62</v>
      </c>
      <c r="AH13" s="11">
        <v>76.400000000000006</v>
      </c>
    </row>
    <row r="14" spans="1:36" x14ac:dyDescent="0.25">
      <c r="B14" s="21"/>
      <c r="C14" s="21"/>
      <c r="D14" s="21"/>
      <c r="AD14" s="4" t="s">
        <v>186</v>
      </c>
      <c r="AE14" s="8">
        <v>92411.520000000004</v>
      </c>
      <c r="AG14" s="4" t="s">
        <v>296</v>
      </c>
      <c r="AH14" s="11">
        <v>68.073333333333338</v>
      </c>
    </row>
    <row r="15" spans="1:36" x14ac:dyDescent="0.25">
      <c r="AD15" s="4" t="s">
        <v>296</v>
      </c>
      <c r="AE15" s="8">
        <v>486911.19000000006</v>
      </c>
    </row>
    <row r="17" spans="2:4" x14ac:dyDescent="0.25">
      <c r="B17" s="21"/>
      <c r="C17" s="21"/>
      <c r="D17" s="21"/>
    </row>
    <row r="18" spans="2:4" ht="18.75" x14ac:dyDescent="0.3">
      <c r="B18" s="24" t="s">
        <v>311</v>
      </c>
      <c r="C18" s="21"/>
      <c r="D18" s="21"/>
    </row>
    <row r="19" spans="2:4" ht="15.75" x14ac:dyDescent="0.25">
      <c r="B19" s="25">
        <f>COUNTIF(Table2[Employment Status],"left")</f>
        <v>24</v>
      </c>
      <c r="C19" s="25" t="s">
        <v>312</v>
      </c>
      <c r="D19" s="21"/>
    </row>
    <row r="20" spans="2:4" ht="15.75" x14ac:dyDescent="0.25">
      <c r="B20" s="25">
        <f>COUNTIF(Table2[Employment Status],"Resigned")</f>
        <v>10</v>
      </c>
      <c r="C20" s="25" t="s">
        <v>313</v>
      </c>
      <c r="D20" s="21"/>
    </row>
    <row r="21" spans="2:4" x14ac:dyDescent="0.25">
      <c r="B21" s="21"/>
      <c r="C21" s="21"/>
      <c r="D21" s="21"/>
    </row>
  </sheetData>
  <mergeCells count="2">
    <mergeCell ref="I1:L1"/>
    <mergeCell ref="A1:D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878D-EFD4-4B7A-AFDE-6A1A59BEC5A3}">
  <dimension ref="A2:H19"/>
  <sheetViews>
    <sheetView workbookViewId="0">
      <selection activeCell="A13" sqref="A13:B17"/>
    </sheetView>
  </sheetViews>
  <sheetFormatPr defaultRowHeight="15" x14ac:dyDescent="0.25"/>
  <cols>
    <col min="1" max="1" width="20.7109375" bestFit="1" customWidth="1"/>
    <col min="2" max="2" width="20.85546875" bestFit="1" customWidth="1"/>
    <col min="3" max="3" width="11.28515625" bestFit="1" customWidth="1"/>
    <col min="4" max="4" width="16.42578125" bestFit="1" customWidth="1"/>
    <col min="5" max="5" width="19.85546875" bestFit="1" customWidth="1"/>
    <col min="6" max="6" width="20.85546875" bestFit="1" customWidth="1"/>
    <col min="7" max="7" width="7.140625" bestFit="1" customWidth="1"/>
    <col min="8" max="9" width="9.140625" bestFit="1" customWidth="1"/>
    <col min="10" max="10" width="11.28515625" bestFit="1" customWidth="1"/>
    <col min="11" max="11" width="4.42578125" bestFit="1" customWidth="1"/>
    <col min="13" max="13" width="21.5703125" bestFit="1" customWidth="1"/>
    <col min="14" max="14" width="16.28515625" bestFit="1" customWidth="1"/>
  </cols>
  <sheetData>
    <row r="2" spans="1:8" ht="23.25" x14ac:dyDescent="0.35">
      <c r="A2" s="16" t="s">
        <v>304</v>
      </c>
      <c r="E2" s="16" t="s">
        <v>305</v>
      </c>
    </row>
    <row r="3" spans="1:8" x14ac:dyDescent="0.25">
      <c r="A3" s="7" t="s">
        <v>299</v>
      </c>
      <c r="B3" t="s">
        <v>297</v>
      </c>
      <c r="C3" t="s">
        <v>298</v>
      </c>
      <c r="E3" s="7" t="s">
        <v>298</v>
      </c>
      <c r="F3" s="7" t="s">
        <v>300</v>
      </c>
    </row>
    <row r="4" spans="1:8" x14ac:dyDescent="0.25">
      <c r="A4" s="4" t="s">
        <v>174</v>
      </c>
      <c r="B4" s="8">
        <v>87173.588235294112</v>
      </c>
      <c r="C4" s="26">
        <v>17</v>
      </c>
      <c r="E4" s="7" t="s">
        <v>299</v>
      </c>
      <c r="F4" t="s">
        <v>25</v>
      </c>
      <c r="G4" t="s">
        <v>16</v>
      </c>
      <c r="H4" t="s">
        <v>62</v>
      </c>
    </row>
    <row r="5" spans="1:8" x14ac:dyDescent="0.25">
      <c r="A5" s="4" t="s">
        <v>172</v>
      </c>
      <c r="B5" s="8">
        <v>85536.277777777781</v>
      </c>
      <c r="C5" s="26">
        <v>18</v>
      </c>
      <c r="E5" s="4" t="s">
        <v>174</v>
      </c>
      <c r="F5" s="10">
        <v>0.82352941176470584</v>
      </c>
      <c r="G5" s="10">
        <v>0.17647058823529413</v>
      </c>
      <c r="H5" s="9">
        <v>0</v>
      </c>
    </row>
    <row r="6" spans="1:8" x14ac:dyDescent="0.25">
      <c r="A6" s="4" t="s">
        <v>173</v>
      </c>
      <c r="B6" s="8">
        <v>80512.833333333328</v>
      </c>
      <c r="C6" s="26">
        <v>36</v>
      </c>
      <c r="E6" s="4" t="s">
        <v>172</v>
      </c>
      <c r="F6" s="10">
        <v>0.83333333333333337</v>
      </c>
      <c r="G6" s="10">
        <v>0.1111111111111111</v>
      </c>
      <c r="H6" s="9">
        <v>5.5555555555555552E-2</v>
      </c>
    </row>
    <row r="7" spans="1:8" x14ac:dyDescent="0.25">
      <c r="A7" s="4" t="s">
        <v>175</v>
      </c>
      <c r="B7" s="8">
        <v>85407.947368421053</v>
      </c>
      <c r="C7" s="26">
        <v>19</v>
      </c>
      <c r="E7" s="4" t="s">
        <v>173</v>
      </c>
      <c r="F7" s="10">
        <v>0.77777777777777779</v>
      </c>
      <c r="G7" s="10">
        <v>0.16666666666666666</v>
      </c>
      <c r="H7" s="9">
        <v>5.5555555555555552E-2</v>
      </c>
    </row>
    <row r="8" spans="1:8" x14ac:dyDescent="0.25">
      <c r="A8" s="4" t="s">
        <v>177</v>
      </c>
      <c r="B8" s="8">
        <v>80049.931034482754</v>
      </c>
      <c r="C8" s="26">
        <v>29</v>
      </c>
      <c r="E8" s="4" t="s">
        <v>175</v>
      </c>
      <c r="F8" s="10">
        <v>0.84210526315789469</v>
      </c>
      <c r="G8" s="10">
        <v>0.15789473684210525</v>
      </c>
      <c r="H8" s="9">
        <v>0</v>
      </c>
    </row>
    <row r="9" spans="1:8" x14ac:dyDescent="0.25">
      <c r="A9" s="4" t="s">
        <v>176</v>
      </c>
      <c r="B9" s="8">
        <v>86333.096774193546</v>
      </c>
      <c r="C9" s="26">
        <v>31</v>
      </c>
      <c r="E9" s="4" t="s">
        <v>177</v>
      </c>
      <c r="F9" s="10">
        <v>0.62068965517241381</v>
      </c>
      <c r="G9" s="10">
        <v>0.20689655172413793</v>
      </c>
      <c r="H9" s="9">
        <v>0.17241379310344829</v>
      </c>
    </row>
    <row r="10" spans="1:8" x14ac:dyDescent="0.25">
      <c r="A10" s="4" t="s">
        <v>296</v>
      </c>
      <c r="B10" s="8">
        <v>83603.94</v>
      </c>
      <c r="C10" s="26">
        <v>150</v>
      </c>
      <c r="E10" s="4" t="s">
        <v>176</v>
      </c>
      <c r="F10" s="10">
        <v>0.80645161290322576</v>
      </c>
      <c r="G10" s="10">
        <v>0.12903225806451613</v>
      </c>
      <c r="H10" s="9">
        <v>6.4516129032258063E-2</v>
      </c>
    </row>
    <row r="11" spans="1:8" x14ac:dyDescent="0.25">
      <c r="E11" s="4" t="s">
        <v>296</v>
      </c>
      <c r="F11" s="9">
        <v>0.77333333333333332</v>
      </c>
      <c r="G11" s="9">
        <v>0.16</v>
      </c>
      <c r="H11" s="9">
        <v>6.6666666666666666E-2</v>
      </c>
    </row>
    <row r="12" spans="1:8" ht="23.25" x14ac:dyDescent="0.35">
      <c r="A12" s="16" t="s">
        <v>306</v>
      </c>
      <c r="E12" s="16" t="s">
        <v>307</v>
      </c>
    </row>
    <row r="13" spans="1:8" x14ac:dyDescent="0.25">
      <c r="A13" s="7" t="s">
        <v>5</v>
      </c>
      <c r="B13" t="s">
        <v>301</v>
      </c>
      <c r="E13" s="7" t="s">
        <v>294</v>
      </c>
      <c r="F13" t="s">
        <v>303</v>
      </c>
    </row>
    <row r="14" spans="1:8" x14ac:dyDescent="0.25">
      <c r="A14" s="4" t="s">
        <v>25</v>
      </c>
      <c r="B14" s="11">
        <v>67.741379310344826</v>
      </c>
      <c r="E14" s="4" t="s">
        <v>184</v>
      </c>
      <c r="F14" s="8">
        <v>165216.95000000004</v>
      </c>
    </row>
    <row r="15" spans="1:8" x14ac:dyDescent="0.25">
      <c r="A15" s="4" t="s">
        <v>16</v>
      </c>
      <c r="B15" s="11">
        <v>66.208333333333329</v>
      </c>
      <c r="E15" s="4" t="s">
        <v>183</v>
      </c>
      <c r="F15" s="8">
        <v>84593.280000000028</v>
      </c>
    </row>
    <row r="16" spans="1:8" x14ac:dyDescent="0.25">
      <c r="A16" s="4" t="s">
        <v>62</v>
      </c>
      <c r="B16" s="11">
        <v>76.400000000000006</v>
      </c>
      <c r="E16" s="4" t="s">
        <v>185</v>
      </c>
      <c r="F16" s="8">
        <v>144689.44</v>
      </c>
    </row>
    <row r="17" spans="1:6" x14ac:dyDescent="0.25">
      <c r="A17" s="4" t="s">
        <v>296</v>
      </c>
      <c r="B17" s="11">
        <v>68.073333333333338</v>
      </c>
      <c r="E17" s="4" t="s">
        <v>182</v>
      </c>
      <c r="F17" s="8">
        <v>0</v>
      </c>
    </row>
    <row r="18" spans="1:6" x14ac:dyDescent="0.25">
      <c r="E18" s="4" t="s">
        <v>186</v>
      </c>
      <c r="F18" s="8">
        <v>92411.520000000004</v>
      </c>
    </row>
    <row r="19" spans="1:6" x14ac:dyDescent="0.25">
      <c r="E19" s="4" t="s">
        <v>296</v>
      </c>
      <c r="F19" s="8">
        <v>486911.19000000006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13" sqref="A13"/>
    </sheetView>
  </sheetViews>
  <sheetFormatPr defaultRowHeight="15" x14ac:dyDescent="0.25"/>
  <cols>
    <col min="2" max="2" width="22.5703125" bestFit="1" customWidth="1"/>
  </cols>
  <sheetData>
    <row r="1" spans="1:2" x14ac:dyDescent="0.25">
      <c r="A1" s="1" t="s">
        <v>170</v>
      </c>
      <c r="B1" s="1" t="s">
        <v>171</v>
      </c>
    </row>
    <row r="2" spans="1:2" x14ac:dyDescent="0.25">
      <c r="A2" t="s">
        <v>52</v>
      </c>
      <c r="B2" t="s">
        <v>172</v>
      </c>
    </row>
    <row r="3" spans="1:2" x14ac:dyDescent="0.25">
      <c r="A3" t="s">
        <v>8</v>
      </c>
      <c r="B3" t="s">
        <v>173</v>
      </c>
    </row>
    <row r="4" spans="1:2" x14ac:dyDescent="0.25">
      <c r="A4" t="s">
        <v>13</v>
      </c>
      <c r="B4" t="s">
        <v>174</v>
      </c>
    </row>
    <row r="5" spans="1:2" x14ac:dyDescent="0.25">
      <c r="A5" t="s">
        <v>10</v>
      </c>
      <c r="B5" t="s">
        <v>175</v>
      </c>
    </row>
    <row r="6" spans="1:2" x14ac:dyDescent="0.25">
      <c r="A6" t="s">
        <v>24</v>
      </c>
      <c r="B6" t="s">
        <v>176</v>
      </c>
    </row>
    <row r="7" spans="1:2" x14ac:dyDescent="0.25">
      <c r="A7" t="s">
        <v>18</v>
      </c>
      <c r="B7" t="s">
        <v>177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x14ac:dyDescent="0.25"/>
  <cols>
    <col min="3" max="3" width="19.5703125" bestFit="1" customWidth="1"/>
    <col min="4" max="4" width="17.7109375" bestFit="1" customWidth="1"/>
  </cols>
  <sheetData>
    <row r="1" spans="1:4" x14ac:dyDescent="0.25">
      <c r="A1" s="1" t="s">
        <v>178</v>
      </c>
      <c r="B1" s="1" t="s">
        <v>179</v>
      </c>
      <c r="C1" s="1" t="s">
        <v>180</v>
      </c>
      <c r="D1" s="1" t="s">
        <v>181</v>
      </c>
    </row>
    <row r="2" spans="1:4" x14ac:dyDescent="0.25">
      <c r="A2">
        <v>0</v>
      </c>
      <c r="B2">
        <v>49</v>
      </c>
      <c r="C2" t="s">
        <v>182</v>
      </c>
      <c r="D2">
        <v>0</v>
      </c>
    </row>
    <row r="3" spans="1:4" x14ac:dyDescent="0.25">
      <c r="A3">
        <v>50</v>
      </c>
      <c r="B3">
        <v>69</v>
      </c>
      <c r="C3" t="s">
        <v>183</v>
      </c>
      <c r="D3">
        <v>0.02</v>
      </c>
    </row>
    <row r="4" spans="1:4" x14ac:dyDescent="0.25">
      <c r="A4">
        <v>70</v>
      </c>
      <c r="B4">
        <v>84</v>
      </c>
      <c r="C4" t="s">
        <v>184</v>
      </c>
      <c r="D4">
        <v>0.05</v>
      </c>
    </row>
    <row r="5" spans="1:4" x14ac:dyDescent="0.25">
      <c r="A5">
        <v>85</v>
      </c>
      <c r="B5">
        <v>94</v>
      </c>
      <c r="C5" t="s">
        <v>185</v>
      </c>
      <c r="D5">
        <v>0.08</v>
      </c>
    </row>
    <row r="6" spans="1:4" x14ac:dyDescent="0.25">
      <c r="A6">
        <v>95</v>
      </c>
      <c r="B6">
        <v>100</v>
      </c>
      <c r="C6" t="s">
        <v>186</v>
      </c>
      <c r="D6">
        <v>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Raw_Employee_Data</vt:lpstr>
      <vt:lpstr>HR Dashboard</vt:lpstr>
      <vt:lpstr>Analysis</vt:lpstr>
      <vt:lpstr>Lookup_Departments</vt:lpstr>
      <vt:lpstr>Lookup_Performance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Toshiba</cp:lastModifiedBy>
  <dcterms:created xsi:type="dcterms:W3CDTF">2026-06-04T20:20:01Z</dcterms:created>
  <dcterms:modified xsi:type="dcterms:W3CDTF">2026-07-05T00:39:00Z</dcterms:modified>
</cp:coreProperties>
</file>